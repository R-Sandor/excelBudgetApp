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0E0E6362-62E0-4AE0-AC27-D209E162120B}" xr6:coauthVersionLast="43" xr6:coauthVersionMax="43" xr10:uidLastSave="{00000000-0000-0000-0000-000000000000}"/>
  <bookViews>
    <workbookView xWindow="-28920" yWindow="-120" windowWidth="29040" windowHeight="15840" tabRatio="500" activeTab="1" xr2:uid="{00000000-000D-0000-FFFF-FFFF00000000}"/>
  </bookViews>
  <sheets>
    <sheet name="2019 Budget" sheetId="1" r:id="rId1"/>
    <sheet name="GoalBudget" sheetId="2" r:id="rId2"/>
    <sheet name="Configuration Tab" sheetId="4" r:id="rId3"/>
    <sheet name="Users Manual" sheetId="7" r:id="rId4"/>
    <sheet name="Todo" sheetId="6" r:id="rId5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2" l="1"/>
  <c r="N5" i="1"/>
  <c r="N7" i="2"/>
  <c r="N6" i="2"/>
  <c r="N4" i="2"/>
  <c r="N3" i="2"/>
  <c r="M8" i="2"/>
  <c r="L8" i="2"/>
  <c r="K8" i="2"/>
  <c r="J8" i="2"/>
  <c r="I8" i="2"/>
  <c r="H8" i="2"/>
  <c r="G8" i="2"/>
  <c r="F8" i="2"/>
  <c r="E8" i="2"/>
  <c r="D8" i="2"/>
  <c r="C8" i="2"/>
  <c r="B8" i="2"/>
  <c r="N4" i="1"/>
  <c r="N6" i="1"/>
  <c r="N7" i="1"/>
  <c r="N3" i="1"/>
  <c r="C8" i="1"/>
  <c r="D8" i="1"/>
  <c r="E8" i="1"/>
  <c r="F8" i="1"/>
  <c r="G8" i="1"/>
  <c r="H8" i="1"/>
  <c r="I8" i="1"/>
  <c r="J8" i="1"/>
  <c r="K8" i="1"/>
  <c r="L8" i="1"/>
  <c r="M8" i="1"/>
  <c r="B8" i="1"/>
  <c r="N8" i="2" l="1"/>
  <c r="N8" i="1"/>
</calcChain>
</file>

<file path=xl/sharedStrings.xml><?xml version="1.0" encoding="utf-8"?>
<sst xmlns="http://schemas.openxmlformats.org/spreadsheetml/2006/main" count="91" uniqueCount="49">
  <si>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</si>
  <si>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</si>
  <si>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</si>
  <si>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</si>
  <si>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</si>
  <si>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</si>
  <si>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</si>
  <si>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</si>
  <si>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</si>
  <si>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</si>
  <si>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</si>
  <si>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</si>
  <si>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</si>
  <si>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</si>
  <si>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</si>
  <si>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Savings</t>
  </si>
  <si>
    <t xml:space="preserve">Gross Income </t>
  </si>
  <si>
    <t>First Paycheck</t>
  </si>
  <si>
    <t>Second Paychek</t>
  </si>
  <si>
    <t>Other income</t>
  </si>
  <si>
    <t xml:space="preserve">Cash </t>
  </si>
  <si>
    <t>Remaining Funds at End of Month</t>
  </si>
  <si>
    <t>salary</t>
  </si>
  <si>
    <t>Pay Days</t>
  </si>
  <si>
    <t>Imputed Income</t>
  </si>
  <si>
    <t>Retirement Contributions</t>
  </si>
  <si>
    <t>Tax Rate</t>
  </si>
  <si>
    <t>Pay Check amount</t>
  </si>
  <si>
    <t>Configuration Values</t>
  </si>
  <si>
    <t>GrossIncome</t>
  </si>
  <si>
    <t>Starting bank balance</t>
  </si>
  <si>
    <t>Savings accounts</t>
  </si>
  <si>
    <t>Loans</t>
  </si>
  <si>
    <t>Interest of loan</t>
  </si>
  <si>
    <t>headers</t>
  </si>
  <si>
    <t>Title</t>
  </si>
  <si>
    <t>Pay</t>
  </si>
  <si>
    <t>Post Tax Salary</t>
  </si>
  <si>
    <t>Checking accounts balance</t>
  </si>
  <si>
    <t>Account Balances</t>
  </si>
  <si>
    <t>Total Expenses</t>
  </si>
  <si>
    <t>Debt/Loan Balances</t>
  </si>
  <si>
    <t>accountBalances</t>
  </si>
  <si>
    <t>debts</t>
  </si>
  <si>
    <t>lastRefresh</t>
  </si>
  <si>
    <t>Date Validation on user input</t>
  </si>
  <si>
    <t>Add expense to spreadsheet</t>
  </si>
  <si>
    <t>test</t>
  </si>
  <si>
    <t>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</si>
</sst>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9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  <font>
      <b/>
      <sz val="11"/>
      <color rgb="FF000000"/>
      <name val="Calibri"/>
      <family val="2"/>
    </font>
    <font>
      <sz val="20"/>
      <color theme="0"/>
      <name val="Calibri"/>
      <family val="2"/>
      <charset val="1"/>
    </font>
    <font>
      <sz val="12"/>
      <color theme="1"/>
      <name val="Calibri"/>
      <family val="2"/>
      <charset val="1"/>
    </font>
    <font>
      <sz val="12"/>
      <color theme="4"/>
      <name val="Calibri"/>
      <family val="2"/>
      <charset val="1"/>
    </font>
    <font>
      <sz val="16"/>
      <color rgb="FFFF0000"/>
      <name val="Calibri"/>
      <family val="2"/>
      <charset val="1"/>
    </font>
    <font>
      <sz val="8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9" fillId="0" borderId="0" applyBorder="0" applyProtection="0"/>
  </cellStyleXfs>
  <cellXfs count="44">
    <xf numFmtId="0" fontId="0" fillId="0" borderId="0" xfId="0"/>
    <xf numFmtId="0" fontId="0" fillId="2" borderId="0" xfId="0" applyFill="1"/>
    <xf numFmtId="164" fontId="0" fillId="0" borderId="0" xfId="1" applyFont="1"/>
    <xf numFmtId="164" fontId="0" fillId="0" borderId="0" xfId="0" applyNumberFormat="1"/>
    <xf numFmtId="0" fontId="8" fillId="0" borderId="0" xfId="0" applyFont="1"/>
    <xf numFmtId="165" fontId="0" fillId="0" borderId="0" xfId="0" applyNumberFormat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164" fontId="0" fillId="0" borderId="0" xfId="0" applyNumberFormat="1" applyBorder="1"/>
    <xf numFmtId="0" fontId="0" fillId="0" borderId="0" xfId="0" applyBorder="1"/>
    <xf numFmtId="0" fontId="0" fillId="3" borderId="0" xfId="0" applyFill="1"/>
    <xf numFmtId="0" fontId="13" fillId="3" borderId="0" xfId="0" applyFont="1" applyFill="1"/>
    <xf numFmtId="0" fontId="2" fillId="0" borderId="0" xfId="0" applyFont="1" applyBorder="1" applyAlignment="1">
      <alignment horizontal="left" indent="7"/>
    </xf>
    <xf numFmtId="0" fontId="3" fillId="0" borderId="0" xfId="0" applyFont="1" applyBorder="1"/>
    <xf numFmtId="0" fontId="4" fillId="0" borderId="0" xfId="0" applyFont="1" applyBorder="1"/>
    <xf numFmtId="0" fontId="5" fillId="0" borderId="0" xfId="0" applyFont="1" applyBorder="1"/>
    <xf numFmtId="0" fontId="6" fillId="0" borderId="0" xfId="0" applyFont="1" applyBorder="1"/>
    <xf numFmtId="164" fontId="0" fillId="4" borderId="0" xfId="1" applyFont="1" applyFill="1" applyBorder="1"/>
    <xf numFmtId="164" fontId="0" fillId="4" borderId="0" xfId="0" applyNumberFormat="1" applyFill="1" applyBorder="1"/>
    <xf numFmtId="0" fontId="14" fillId="4" borderId="0" xfId="0" applyFont="1" applyFill="1" applyBorder="1"/>
    <xf numFmtId="0" fontId="15" fillId="0" borderId="0" xfId="0" applyFont="1" applyFill="1" applyBorder="1" applyAlignment="1">
      <alignment horizontal="left"/>
    </xf>
    <xf numFmtId="164" fontId="0" fillId="5" borderId="0" xfId="0" applyNumberFormat="1" applyFill="1" applyBorder="1"/>
    <xf numFmtId="164" fontId="0" fillId="5" borderId="0" xfId="1" applyFont="1" applyFill="1" applyBorder="1"/>
    <xf numFmtId="0" fontId="16" fillId="5" borderId="1" xfId="0" applyFont="1" applyFill="1" applyBorder="1" applyAlignment="1">
      <alignment horizontal="left"/>
    </xf>
    <xf numFmtId="0" fontId="7" fillId="4" borderId="3" xfId="0" applyFont="1" applyFill="1" applyBorder="1"/>
    <xf numFmtId="0" fontId="16" fillId="5" borderId="2" xfId="0" applyFont="1" applyFill="1" applyBorder="1" applyAlignment="1">
      <alignment horizontal="left"/>
    </xf>
    <xf numFmtId="0" fontId="0" fillId="4" borderId="0" xfId="0" applyFill="1" applyBorder="1"/>
    <xf numFmtId="0" fontId="17" fillId="4" borderId="0" xfId="0" applyFont="1" applyFill="1" applyBorder="1"/>
    <xf numFmtId="0" fontId="0" fillId="3" borderId="0" xfId="0" applyFill="1" applyBorder="1"/>
    <xf numFmtId="164" fontId="0" fillId="3" borderId="0" xfId="0" applyNumberFormat="1" applyFill="1" applyBorder="1"/>
    <xf numFmtId="8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5" fontId="0" fillId="6" borderId="0" xfId="0" applyNumberFormat="1" applyFill="1"/>
    <xf numFmtId="0" fontId="0" fillId="6" borderId="0" xfId="0" applyFill="1"/>
    <xf numFmtId="164" fontId="0" fillId="6" borderId="0" xfId="1" applyFont="1" applyFill="1"/>
    <xf numFmtId="0" fontId="0" fillId="0" borderId="4" xfId="0" applyBorder="1" applyAlignment="1">
      <alignment horizontal="center"/>
    </xf>
    <xf numFmtId="164" fontId="0" fillId="0" borderId="5" xfId="0" applyNumberFormat="1" applyBorder="1"/>
    <xf numFmtId="164" fontId="0" fillId="4" borderId="5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0" fontId="0" fillId="0" borderId="4" xfId="0" applyBorder="1"/>
    <xf numFmtId="164" fontId="0" fillId="4" borderId="6" xfId="0" applyNumberFormat="1" applyFill="1" applyBorder="1"/>
  </cellXfs>
  <cellStyles count="2">
    <cellStyle name="Currency" xfId="1" builtinId="4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29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232834</xdr:colOff>
          <xdr:row>19</xdr:row>
          <xdr:rowOff>31751</xdr:rowOff>
        </xdr:from>
        <xdr:to>
          <xdr:col>13</xdr:col>
          <xdr:colOff>476251</xdr:colOff>
          <xdr:row>22</xdr:row>
          <xdr:rowOff>306917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846667</xdr:colOff>
          <xdr:row>18</xdr:row>
          <xdr:rowOff>186266</xdr:rowOff>
        </xdr:from>
        <xdr:to>
          <xdr:col>7</xdr:col>
          <xdr:colOff>31752</xdr:colOff>
          <xdr:row>22</xdr:row>
          <xdr:rowOff>52917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508002</xdr:colOff>
          <xdr:row>19</xdr:row>
          <xdr:rowOff>35982</xdr:rowOff>
        </xdr:from>
        <xdr:to>
          <xdr:col>14</xdr:col>
          <xdr:colOff>1598084</xdr:colOff>
          <xdr:row>22</xdr:row>
          <xdr:rowOff>317500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2124075</xdr:colOff>
          <xdr:row>19</xdr:row>
          <xdr:rowOff>21168</xdr:rowOff>
        </xdr:from>
        <xdr:to>
          <xdr:col>2</xdr:col>
          <xdr:colOff>1005416</xdr:colOff>
          <xdr:row>22</xdr:row>
          <xdr:rowOff>52917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New Expense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42334</xdr:colOff>
          <xdr:row>19</xdr:row>
          <xdr:rowOff>0</xdr:rowOff>
        </xdr:from>
        <xdr:to>
          <xdr:col>9</xdr:col>
          <xdr:colOff>84667</xdr:colOff>
          <xdr:row>22</xdr:row>
          <xdr:rowOff>52917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Adjustments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1037166</xdr:colOff>
          <xdr:row>19</xdr:row>
          <xdr:rowOff>10582</xdr:rowOff>
        </xdr:from>
        <xdr:to>
          <xdr:col>4</xdr:col>
          <xdr:colOff>825500</xdr:colOff>
          <xdr:row>22</xdr:row>
          <xdr:rowOff>52917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Remove Expense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19</xdr:row>
          <xdr:rowOff>21166</xdr:rowOff>
        </xdr:from>
        <xdr:ext cx="2110317" cy="603250"/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2A11642E-D003-4593-8BF0-87C080A38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45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43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9"/>
  <sheetViews>
    <sheetView zoomScale="90" zoomScaleNormal="90" workbookViewId="0">
      <selection activeCell="N5" sqref="N5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24.140625" customWidth="1"/>
    <col min="16" max="16" width="33" style="35" customWidth="1"/>
    <col min="17" max="21" width="8.5703125" style="35" customWidth="1"/>
    <col min="22" max="1025" width="8.5703125" customWidth="1"/>
  </cols>
  <sheetData>
    <row r="1" spans="1:15" ht="42" customHeight="1" x14ac:dyDescent="0.5">
      <c r="A1" s="33" t="s">
        <v>0</v>
      </c>
      <c r="B1" s="33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 t="s">
        <v>35</v>
      </c>
    </row>
    <row r="2" spans="1:15" ht="34.5" customHeight="1" x14ac:dyDescent="0.4">
      <c r="A2" s="13" t="s">
        <v>1</v>
      </c>
      <c r="B2" s="32" t="s">
        <v>2</v>
      </c>
      <c r="C2" s="32" t="s">
        <v>3</v>
      </c>
      <c r="D2" s="32" t="s">
        <v>4</v>
      </c>
      <c r="E2" s="32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2" t="s">
        <v>12</v>
      </c>
      <c r="M2" s="32" t="s">
        <v>13</v>
      </c>
      <c r="N2" s="37" t="s">
        <v>14</v>
      </c>
      <c r="O2" s="1" t="s">
        <v>34</v>
      </c>
    </row>
    <row r="3" spans="1:15" ht="15.75" x14ac:dyDescent="0.25">
      <c r="A3" s="14" t="s">
        <v>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38">
        <f>SUM(B3:M3)</f>
        <v>0</v>
      </c>
      <c r="O3" s="1" t="s">
        <v>1</v>
      </c>
    </row>
    <row r="4" spans="1:15" ht="15.75" x14ac:dyDescent="0.25">
      <c r="A4" s="14" t="s">
        <v>48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38">
        <f t="shared" ref="N4:N7" si="0">SUM(B4:M4)</f>
        <v>0</v>
      </c>
      <c r="O4" s="1" t="s">
        <v>1</v>
      </c>
    </row>
    <row r="5" spans="1:15" ht="15.75" x14ac:dyDescent="0.25">
      <c r="A5" s="14" t="s">
        <v>47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38">
        <f t="shared" si="0"/>
        <v>0</v>
      </c>
      <c r="O5" s="1"/>
    </row>
    <row r="6" spans="1:15" ht="26.25" x14ac:dyDescent="0.4">
      <c r="A6" s="15" t="s">
        <v>40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38">
        <f t="shared" si="0"/>
        <v>0</v>
      </c>
      <c r="O6" s="1"/>
    </row>
    <row r="7" spans="1:15" ht="26.25" x14ac:dyDescent="0.4">
      <c r="A7" s="16" t="s">
        <v>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38">
        <f t="shared" si="0"/>
        <v>0</v>
      </c>
      <c r="O7" s="1" t="s">
        <v>36</v>
      </c>
    </row>
    <row r="8" spans="1:15" ht="26.25" x14ac:dyDescent="0.4">
      <c r="A8" s="25" t="s">
        <v>37</v>
      </c>
      <c r="B8" s="19">
        <f>'Configuration Tab'!$B$8/12</f>
        <v>5000</v>
      </c>
      <c r="C8" s="19">
        <f>'Configuration Tab'!$B$8/12</f>
        <v>5000</v>
      </c>
      <c r="D8" s="19">
        <f>'Configuration Tab'!$B$8/12</f>
        <v>5000</v>
      </c>
      <c r="E8" s="19">
        <f>'Configuration Tab'!$B$8/12</f>
        <v>5000</v>
      </c>
      <c r="F8" s="19">
        <f>'Configuration Tab'!$B$8/12</f>
        <v>5000</v>
      </c>
      <c r="G8" s="19">
        <f>'Configuration Tab'!$B$8/12</f>
        <v>5000</v>
      </c>
      <c r="H8" s="19">
        <f>'Configuration Tab'!$B$8/12</f>
        <v>5000</v>
      </c>
      <c r="I8" s="19">
        <f>'Configuration Tab'!$B$8/12</f>
        <v>5000</v>
      </c>
      <c r="J8" s="19">
        <f>'Configuration Tab'!$B$8/12</f>
        <v>5000</v>
      </c>
      <c r="K8" s="19">
        <f>'Configuration Tab'!$B$8/12</f>
        <v>5000</v>
      </c>
      <c r="L8" s="19">
        <f>'Configuration Tab'!$B$8/12</f>
        <v>5000</v>
      </c>
      <c r="M8" s="19">
        <f>'Configuration Tab'!$B$8/12</f>
        <v>5000</v>
      </c>
      <c r="N8" s="39">
        <f>SUM(B8:M8)</f>
        <v>60000</v>
      </c>
      <c r="O8" s="1"/>
    </row>
    <row r="9" spans="1:15" ht="15.75" x14ac:dyDescent="0.25">
      <c r="A9" s="24" t="s">
        <v>17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40"/>
      <c r="O9" s="1"/>
    </row>
    <row r="10" spans="1:15" ht="15.75" x14ac:dyDescent="0.25">
      <c r="A10" s="24" t="s">
        <v>18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40"/>
      <c r="O10" s="1" t="s">
        <v>29</v>
      </c>
    </row>
    <row r="11" spans="1:15" ht="15.75" x14ac:dyDescent="0.25">
      <c r="A11" s="26" t="s">
        <v>19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41"/>
      <c r="O11" s="11" t="s">
        <v>42</v>
      </c>
    </row>
    <row r="12" spans="1:15" x14ac:dyDescent="0.25">
      <c r="A12" s="10" t="s">
        <v>38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9"/>
      <c r="O12" s="12"/>
    </row>
    <row r="13" spans="1:15" x14ac:dyDescent="0.25">
      <c r="A13" s="10" t="s">
        <v>15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30"/>
      <c r="O13" s="1"/>
    </row>
    <row r="14" spans="1:15" x14ac:dyDescent="0.25">
      <c r="A14" s="10" t="s">
        <v>20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29"/>
      <c r="O14" s="11"/>
    </row>
    <row r="15" spans="1:15" ht="15.75" x14ac:dyDescent="0.25">
      <c r="A15" s="21" t="s">
        <v>15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30"/>
      <c r="O15" s="1"/>
    </row>
    <row r="16" spans="1:15" ht="15.75" x14ac:dyDescent="0.25">
      <c r="A16" s="17" t="s">
        <v>21</v>
      </c>
      <c r="N16" s="11"/>
      <c r="O16" s="11"/>
    </row>
    <row r="17" spans="1:21" s="8" customFormat="1" ht="21" x14ac:dyDescent="0.35">
      <c r="A17" s="28" t="s">
        <v>41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9"/>
      <c r="O17" s="11"/>
      <c r="P17" s="35"/>
      <c r="Q17" s="35"/>
      <c r="R17" s="35"/>
      <c r="S17" s="35"/>
      <c r="T17" s="35"/>
      <c r="U17" s="35"/>
    </row>
    <row r="18" spans="1:21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1"/>
      <c r="O18" s="1"/>
    </row>
    <row r="19" spans="1:2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21" x14ac:dyDescent="0.25">
      <c r="A20" s="35"/>
      <c r="B20" s="34"/>
      <c r="C20" s="34"/>
      <c r="D20" s="35"/>
      <c r="E20" s="35"/>
      <c r="F20" s="34"/>
      <c r="G20" s="35"/>
      <c r="H20" s="35"/>
      <c r="I20" s="34"/>
      <c r="J20" s="35"/>
      <c r="K20" s="35"/>
      <c r="L20" s="34"/>
      <c r="M20" s="34"/>
      <c r="N20" s="34"/>
      <c r="O20" s="35"/>
    </row>
    <row r="21" spans="1:2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S21"/>
      <c r="T21"/>
      <c r="U21"/>
    </row>
    <row r="22" spans="1:2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S22"/>
      <c r="T22"/>
      <c r="U22"/>
    </row>
    <row r="23" spans="1:21" s="35" customFormat="1" ht="111" customHeight="1" x14ac:dyDescent="0.25"/>
    <row r="24" spans="1:21" s="35" customFormat="1" hidden="1" x14ac:dyDescent="0.25"/>
    <row r="25" spans="1:21" s="35" customFormat="1" ht="40.5" customHeight="1" x14ac:dyDescent="0.25"/>
    <row r="26" spans="1:21" s="35" customFormat="1" ht="30.75" customHeight="1" x14ac:dyDescent="0.25"/>
    <row r="27" spans="1:21" s="35" customFormat="1" ht="14.25" customHeight="1" x14ac:dyDescent="0.25"/>
    <row r="28" spans="1:21" s="35" customFormat="1" ht="31.5" customHeight="1" x14ac:dyDescent="0.25">
      <c r="A28" s="36"/>
      <c r="B28" s="36"/>
      <c r="J28" s="36"/>
      <c r="K28" s="36"/>
    </row>
    <row r="29" spans="1:21" s="35" customFormat="1" ht="0.75" hidden="1" customHeight="1" x14ac:dyDescent="0.25"/>
    <row r="30" spans="1:21" s="35" customFormat="1" ht="16.5" customHeight="1" x14ac:dyDescent="0.25"/>
    <row r="31" spans="1:21" s="36" customFormat="1" ht="2.25" customHeight="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21" s="35" customFormat="1" hidden="1" x14ac:dyDescent="0.25"/>
    <row r="33" spans="1:15" s="35" customFormat="1" x14ac:dyDescent="0.25"/>
    <row r="34" spans="1:15" s="35" customFormat="1" x14ac:dyDescent="0.25"/>
    <row r="35" spans="1:15" s="35" customFormat="1" x14ac:dyDescent="0.25"/>
    <row r="36" spans="1:15" s="35" customFormat="1" x14ac:dyDescent="0.25"/>
    <row r="37" spans="1:15" s="35" customFormat="1" x14ac:dyDescent="0.25"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s="35" customFormat="1" x14ac:dyDescent="0.25"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s="35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</sheetData>
  <mergeCells count="1">
    <mergeCell ref="A1:B1"/>
  </mergeCells>
  <phoneticPr fontId="18" type="noConversion"/>
  <conditionalFormatting sqref="B4:M5">
    <cfRule type="cellIs" dxfId="7" priority="19" operator="greaterThan">
      <formula>250</formula>
    </cfRule>
  </conditionalFormatting>
  <conditionalFormatting sqref="B6:M6 B9:M11">
    <cfRule type="cellIs" dxfId="6" priority="20" operator="greaterThan">
      <formula>1200</formula>
    </cfRule>
    <cfRule type="cellIs" dxfId="5" priority="21" operator="greaterThan">
      <formula>1200</formula>
    </cfRule>
    <cfRule type="cellIs" dxfId="4" priority="22" operator="greaterThan">
      <formula>1000</formula>
    </cfRule>
  </conditionalFormatting>
  <conditionalFormatting sqref="B3:M3">
    <cfRule type="cellIs" dxfId="3" priority="4" operator="greaterThan">
      <formula>250</formula>
    </cfRule>
  </conditionalFormatting>
  <conditionalFormatting sqref="B8:M8">
    <cfRule type="cellIs" dxfId="2" priority="1" operator="greaterThan">
      <formula>1200</formula>
    </cfRule>
    <cfRule type="cellIs" dxfId="1" priority="2" operator="greaterThan">
      <formula>1200</formula>
    </cfRule>
    <cfRule type="cellIs" dxfId="0" priority="3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Report">
                <anchor moveWithCells="1">
                  <from>
                    <xdr:col>11</xdr:col>
                    <xdr:colOff>228600</xdr:colOff>
                    <xdr:row>19</xdr:row>
                    <xdr:rowOff>28575</xdr:rowOff>
                  </from>
                  <to>
                    <xdr:col>13</xdr:col>
                    <xdr:colOff>476250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fresh">
                <anchor moveWithCells="1">
                  <from>
                    <xdr:col>4</xdr:col>
                    <xdr:colOff>847725</xdr:colOff>
                    <xdr:row>18</xdr:row>
                    <xdr:rowOff>190500</xdr:rowOff>
                  </from>
                  <to>
                    <xdr:col>7</xdr:col>
                    <xdr:colOff>28575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nfigure_Button">
                <anchor moveWithCells="1" sizeWithCells="1">
                  <from>
                    <xdr:col>13</xdr:col>
                    <xdr:colOff>504825</xdr:colOff>
                    <xdr:row>19</xdr:row>
                    <xdr:rowOff>38100</xdr:rowOff>
                  </from>
                  <to>
                    <xdr:col>14</xdr:col>
                    <xdr:colOff>1600200</xdr:colOff>
                    <xdr:row>22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AddExpense">
                <anchor moveWithCells="1">
                  <from>
                    <xdr:col>0</xdr:col>
                    <xdr:colOff>2124075</xdr:colOff>
                    <xdr:row>19</xdr:row>
                    <xdr:rowOff>19050</xdr:rowOff>
                  </from>
                  <to>
                    <xdr:col>2</xdr:col>
                    <xdr:colOff>1009650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adjustments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9</xdr:col>
                    <xdr:colOff>85725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remExpCat">
                <anchor moveWithCells="1">
                  <from>
                    <xdr:col>2</xdr:col>
                    <xdr:colOff>1038225</xdr:colOff>
                    <xdr:row>19</xdr:row>
                    <xdr:rowOff>9525</xdr:rowOff>
                  </from>
                  <to>
                    <xdr:col>4</xdr:col>
                    <xdr:colOff>828675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AddExpense">
                <anchor moveWithCells="1">
                  <from>
                    <xdr:col>0</xdr:col>
                    <xdr:colOff>0</xdr:colOff>
                    <xdr:row>19</xdr:row>
                    <xdr:rowOff>19050</xdr:rowOff>
                  </from>
                  <to>
                    <xdr:col>0</xdr:col>
                    <xdr:colOff>2114550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2"/>
  <sheetViews>
    <sheetView tabSelected="1" zoomScaleNormal="100" workbookViewId="0">
      <selection activeCell="N5" sqref="N5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3" t="s">
        <v>0</v>
      </c>
      <c r="B1" s="33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 t="s">
        <v>35</v>
      </c>
      <c r="P1" s="8"/>
    </row>
    <row r="2" spans="1:16" ht="26.25" x14ac:dyDescent="0.4">
      <c r="A2" s="13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s="42" t="s">
        <v>14</v>
      </c>
      <c r="O2" s="1" t="s">
        <v>34</v>
      </c>
    </row>
    <row r="3" spans="1:16" ht="15.75" x14ac:dyDescent="0.25">
      <c r="A3" s="14" t="s">
        <v>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38">
        <f>SUM(B3:M3)</f>
        <v>0</v>
      </c>
      <c r="O3" s="1" t="s">
        <v>1</v>
      </c>
    </row>
    <row r="4" spans="1:16" ht="15.75" x14ac:dyDescent="0.25">
      <c r="A4" s="14" t="s">
        <v>48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38">
        <f t="shared" ref="N4:N7" si="0">SUM(B4:M4)</f>
        <v>0</v>
      </c>
      <c r="O4" s="1" t="s">
        <v>1</v>
      </c>
    </row>
    <row r="5" spans="1:16" ht="15.75" x14ac:dyDescent="0.25">
      <c r="A5" s="14" t="s">
        <v>47</v>
      </c>
      <c r="B5" s="7">
        <v>1000</v>
      </c>
      <c r="C5" s="7">
        <v>1000</v>
      </c>
      <c r="D5" s="7">
        <v>1000</v>
      </c>
      <c r="E5" s="7">
        <v>1000</v>
      </c>
      <c r="F5" s="7">
        <v>1000</v>
      </c>
      <c r="G5" s="7">
        <v>1000</v>
      </c>
      <c r="H5" s="7">
        <v>1000</v>
      </c>
      <c r="I5" s="7">
        <v>1000</v>
      </c>
      <c r="J5" s="7">
        <v>1000</v>
      </c>
      <c r="K5" s="7">
        <v>1000</v>
      </c>
      <c r="L5" s="7">
        <v>1000</v>
      </c>
      <c r="M5" s="7">
        <v>1000</v>
      </c>
      <c r="N5" s="38">
        <f t="shared" si="0"/>
        <v>12000</v>
      </c>
      <c r="O5" s="1"/>
    </row>
    <row r="6" spans="1:16" ht="26.25" x14ac:dyDescent="0.4">
      <c r="A6" s="15" t="s">
        <v>1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38">
        <f t="shared" si="0"/>
        <v>0</v>
      </c>
      <c r="O6" s="1"/>
    </row>
    <row r="7" spans="1:16" ht="26.25" x14ac:dyDescent="0.4">
      <c r="A7" s="16" t="s">
        <v>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38">
        <f t="shared" si="0"/>
        <v>0</v>
      </c>
      <c r="O7" s="1"/>
    </row>
    <row r="8" spans="1:16" ht="26.25" x14ac:dyDescent="0.4">
      <c r="A8" s="25" t="s">
        <v>37</v>
      </c>
      <c r="B8" s="19">
        <f>'Configuration Tab'!$B$8/12</f>
        <v>5000</v>
      </c>
      <c r="C8" s="19">
        <f>'Configuration Tab'!$B$8/12</f>
        <v>5000</v>
      </c>
      <c r="D8" s="19">
        <f>'Configuration Tab'!$B$8/12</f>
        <v>5000</v>
      </c>
      <c r="E8" s="19">
        <f>'Configuration Tab'!$B$8/12</f>
        <v>5000</v>
      </c>
      <c r="F8" s="19">
        <f>'Configuration Tab'!$B$8/12</f>
        <v>5000</v>
      </c>
      <c r="G8" s="19">
        <f>'Configuration Tab'!$B$8/12</f>
        <v>5000</v>
      </c>
      <c r="H8" s="19">
        <f>'Configuration Tab'!$B$8/12</f>
        <v>5000</v>
      </c>
      <c r="I8" s="19">
        <f>'Configuration Tab'!$B$8/12</f>
        <v>5000</v>
      </c>
      <c r="J8" s="19">
        <f>'Configuration Tab'!$B$8/12</f>
        <v>5000</v>
      </c>
      <c r="K8" s="19">
        <f>'Configuration Tab'!$B$8/12</f>
        <v>5000</v>
      </c>
      <c r="L8" s="19">
        <f>'Configuration Tab'!$B$8/12</f>
        <v>5000</v>
      </c>
      <c r="M8" s="19">
        <f>'Configuration Tab'!$B$8/12</f>
        <v>5000</v>
      </c>
      <c r="N8" s="39">
        <f>SUM(B8:M8)</f>
        <v>60000</v>
      </c>
      <c r="O8" s="1"/>
    </row>
    <row r="9" spans="1:16" ht="15.75" x14ac:dyDescent="0.25">
      <c r="A9" s="24" t="s">
        <v>17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40"/>
      <c r="O9" s="1" t="s">
        <v>29</v>
      </c>
    </row>
    <row r="10" spans="1:16" ht="15.75" x14ac:dyDescent="0.25">
      <c r="A10" s="24" t="s">
        <v>18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40"/>
      <c r="O10" s="1"/>
    </row>
    <row r="11" spans="1:16" ht="15.75" x14ac:dyDescent="0.25">
      <c r="A11" s="26" t="s">
        <v>19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40"/>
      <c r="O11" s="1"/>
    </row>
    <row r="12" spans="1:16" ht="26.25" x14ac:dyDescent="0.4">
      <c r="A12" s="20" t="s">
        <v>39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43"/>
      <c r="O12" s="1" t="s">
        <v>36</v>
      </c>
    </row>
    <row r="13" spans="1:16" x14ac:dyDescent="0.25">
      <c r="A13" s="10" t="s">
        <v>38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29"/>
      <c r="O13" s="1"/>
    </row>
    <row r="14" spans="1:16" s="8" customFormat="1" x14ac:dyDescent="0.25">
      <c r="A14" s="10" t="s">
        <v>15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30"/>
      <c r="O14" s="11" t="s">
        <v>42</v>
      </c>
    </row>
    <row r="15" spans="1:16" x14ac:dyDescent="0.25">
      <c r="A15" s="10" t="s">
        <v>20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29"/>
      <c r="O15" s="12"/>
    </row>
    <row r="16" spans="1:16" ht="15.75" x14ac:dyDescent="0.25">
      <c r="A16" s="21" t="s">
        <v>15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30"/>
      <c r="O16" s="1"/>
    </row>
    <row r="17" spans="1:15" ht="15.75" x14ac:dyDescent="0.25">
      <c r="A17" s="17" t="s">
        <v>21</v>
      </c>
      <c r="N17" s="11"/>
      <c r="O17" s="11"/>
    </row>
    <row r="18" spans="1:15" ht="21" x14ac:dyDescent="0.35">
      <c r="A18" s="28" t="s">
        <v>41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9"/>
      <c r="O18" s="1"/>
    </row>
    <row r="19" spans="1:15" x14ac:dyDescent="0.25"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1"/>
      <c r="O19" s="11"/>
    </row>
    <row r="20" spans="1:15" ht="24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1" t="s">
        <v>43</v>
      </c>
    </row>
    <row r="21" spans="1:15" x14ac:dyDescent="0.25">
      <c r="A21" s="4"/>
      <c r="B21" s="3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5" x14ac:dyDescent="0.25">
      <c r="E22" s="6"/>
      <c r="F22" s="6"/>
      <c r="G22" s="6"/>
      <c r="H22" s="6"/>
      <c r="I22" s="6"/>
      <c r="J22" s="6"/>
      <c r="K22" s="6"/>
      <c r="L22" s="6"/>
      <c r="M22" s="6"/>
      <c r="N22" s="6"/>
    </row>
  </sheetData>
  <mergeCells count="1">
    <mergeCell ref="A1:B1"/>
  </mergeCells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:C13"/>
  <sheetViews>
    <sheetView workbookViewId="0">
      <selection activeCell="B2" sqref="B2"/>
    </sheetView>
  </sheetViews>
  <sheetFormatPr defaultRowHeight="15" x14ac:dyDescent="0.25"/>
  <cols>
    <col min="1" max="1" width="32" customWidth="1"/>
    <col min="2" max="2" width="10.7109375" customWidth="1"/>
  </cols>
  <sheetData>
    <row r="1" spans="1:3" x14ac:dyDescent="0.25">
      <c r="B1" t="s">
        <v>28</v>
      </c>
    </row>
    <row r="2" spans="1:3" x14ac:dyDescent="0.25">
      <c r="A2" t="s">
        <v>22</v>
      </c>
      <c r="B2">
        <v>80000</v>
      </c>
    </row>
    <row r="3" spans="1:3" x14ac:dyDescent="0.25">
      <c r="A3" t="s">
        <v>23</v>
      </c>
      <c r="B3">
        <v>5</v>
      </c>
      <c r="C3">
        <v>10</v>
      </c>
    </row>
    <row r="4" spans="1:3" x14ac:dyDescent="0.25">
      <c r="A4" t="s">
        <v>24</v>
      </c>
      <c r="B4">
        <v>0</v>
      </c>
    </row>
    <row r="5" spans="1:3" x14ac:dyDescent="0.25">
      <c r="A5" t="s">
        <v>25</v>
      </c>
      <c r="B5">
        <v>0</v>
      </c>
    </row>
    <row r="6" spans="1:3" x14ac:dyDescent="0.25">
      <c r="A6" t="s">
        <v>26</v>
      </c>
      <c r="B6">
        <v>25</v>
      </c>
    </row>
    <row r="7" spans="1:3" x14ac:dyDescent="0.25">
      <c r="A7" t="s">
        <v>27</v>
      </c>
      <c r="B7" s="31">
        <v>2500</v>
      </c>
    </row>
    <row r="8" spans="1:3" x14ac:dyDescent="0.25">
      <c r="A8" t="s">
        <v>37</v>
      </c>
      <c r="B8" s="31">
        <v>60000</v>
      </c>
    </row>
    <row r="9" spans="1:3" x14ac:dyDescent="0.25">
      <c r="A9" t="s">
        <v>30</v>
      </c>
    </row>
    <row r="10" spans="1:3" x14ac:dyDescent="0.25">
      <c r="A10" t="s">
        <v>31</v>
      </c>
    </row>
    <row r="11" spans="1:3" x14ac:dyDescent="0.25">
      <c r="A11" t="s">
        <v>32</v>
      </c>
    </row>
    <row r="12" spans="1:3" x14ac:dyDescent="0.25">
      <c r="A12" t="s">
        <v>33</v>
      </c>
    </row>
    <row r="13" spans="1:3" x14ac:dyDescent="0.25">
      <c r="A13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:A2"/>
  <sheetViews>
    <sheetView workbookViewId="0">
      <selection activeCell="E18" sqref="E18"/>
    </sheetView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2019 Budget</vt:lpstr>
      <vt:lpstr>GoalBudget</vt:lpstr>
      <vt:lpstr>Configuration Tab</vt:lpstr>
      <vt:lpstr>Users Manual</vt:lpstr>
      <vt:lpstr>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2019-08-10T17:32:25Z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