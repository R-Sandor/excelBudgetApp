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andor\Documents\projects\excel_budget_project\"/>
    </mc:Choice>
  </mc:AlternateContent>
  <xr:revisionPtr revIDLastSave="0" documentId="13_ncr:1_{593F0454-73E7-4B77-A682-F3D78B453288}" xr6:coauthVersionLast="43" xr6:coauthVersionMax="43" xr10:uidLastSave="{00000000-0000-0000-0000-000000000000}"/>
  <bookViews>
    <workbookView xWindow="-120" yWindow="-120" windowWidth="29040" windowHeight="15840" tabRatio="500" xr2:uid="{00000000-000D-0000-FFFF-FFFF00000000}"/>
  </bookViews>
  <sheets>
    <sheet name="Welcome Screen" sheetId="3" r:id="rId1"/>
    <sheet name="2019 Budget" sheetId="1" r:id="rId2"/>
    <sheet name="GoalBudget" sheetId="2" r:id="rId3"/>
    <sheet name="Configuration Tab" sheetId="4" r:id="rId4"/>
    <sheet name="Users Manual" sheetId="7" r:id="rId5"/>
    <sheet name="Sheet4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7" i="1" l="1"/>
  <c r="N5" i="1"/>
  <c r="N4" i="1"/>
  <c r="N6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3" i="1"/>
  <c r="K29" i="2" l="1"/>
  <c r="K33" i="2" s="1"/>
  <c r="E29" i="2"/>
  <c r="E33" i="2" s="1"/>
  <c r="C29" i="2"/>
  <c r="C33" i="2" s="1"/>
  <c r="N28" i="2"/>
  <c r="N27" i="2"/>
  <c r="N26" i="2"/>
  <c r="N25" i="2"/>
  <c r="M24" i="2"/>
  <c r="M29" i="2" s="1"/>
  <c r="M33" i="2" s="1"/>
  <c r="L24" i="2"/>
  <c r="L29" i="2" s="1"/>
  <c r="L33" i="2" s="1"/>
  <c r="K24" i="2"/>
  <c r="J24" i="2"/>
  <c r="J29" i="2" s="1"/>
  <c r="J33" i="2" s="1"/>
  <c r="I24" i="2"/>
  <c r="I29" i="2" s="1"/>
  <c r="I33" i="2" s="1"/>
  <c r="H24" i="2"/>
  <c r="H29" i="2" s="1"/>
  <c r="H33" i="2" s="1"/>
  <c r="G24" i="2"/>
  <c r="G29" i="2" s="1"/>
  <c r="G33" i="2" s="1"/>
  <c r="F24" i="2"/>
  <c r="F29" i="2" s="1"/>
  <c r="F33" i="2" s="1"/>
  <c r="E24" i="2"/>
  <c r="D24" i="2"/>
  <c r="D29" i="2" s="1"/>
  <c r="D33" i="2" s="1"/>
  <c r="C24" i="2"/>
  <c r="B24" i="2"/>
  <c r="B29" i="2" s="1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4" i="2" s="1"/>
  <c r="B33" i="2" l="1"/>
  <c r="N29" i="2"/>
  <c r="C23" i="1"/>
  <c r="D23" i="1"/>
  <c r="E23" i="1" l="1"/>
  <c r="N28" i="1" l="1"/>
  <c r="N26" i="1"/>
  <c r="N25" i="1"/>
  <c r="N27" i="1"/>
  <c r="M23" i="1"/>
  <c r="J23" i="1"/>
  <c r="I23" i="1"/>
  <c r="L23" i="1"/>
  <c r="K23" i="1"/>
  <c r="H23" i="1"/>
  <c r="G23" i="1"/>
  <c r="N24" i="1" l="1"/>
  <c r="N23" i="1"/>
  <c r="F23" i="1"/>
  <c r="N2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4" authorId="0" shapeId="0" xr:uid="{064A5E98-7CAE-49E9-9FCA-C26343398B08}">
      <text>
        <r>
          <rPr>
            <b/>
            <sz val="9"/>
            <color rgb="FF000000"/>
            <rFont val="Tahoma"/>
            <family val="2"/>
            <charset val="1"/>
          </rPr>
          <t xml:space="preserve">Raphael Sandor:
</t>
        </r>
        <r>
          <rPr>
            <sz val="9"/>
            <color rgb="FF000000"/>
            <rFont val="Tahoma"/>
            <family val="2"/>
            <charset val="1"/>
          </rPr>
          <t xml:space="preserve">Without Cheyennes contributioon subtracted against expenses
</t>
        </r>
      </text>
    </comment>
  </commentList>
</comments>
</file>

<file path=xl/sharedStrings.xml><?xml version="1.0" encoding="utf-8"?>
<sst xmlns="http://schemas.openxmlformats.org/spreadsheetml/2006/main" count="92" uniqueCount="45">
  <si>
    <t>2019 Budget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</si>
  <si>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</si>
  <si>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</si>
  <si>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</si>
  <si>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</si>
  <si>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</si>
  <si>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</si>
  <si>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</si>
  <si>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</si>
  <si>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</si>
  <si>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</si>
  <si>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</si>
  <si>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</si>
  <si>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</si>
  <si>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</si>
  <si>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 xml:space="preserve">Rent </t>
  </si>
  <si>
    <t>Cable &amp; Internet</t>
  </si>
  <si>
    <t>Water</t>
  </si>
  <si>
    <t>Electricity</t>
  </si>
  <si>
    <t>Personal care</t>
  </si>
  <si>
    <t>Taxes</t>
  </si>
  <si>
    <t xml:space="preserve">Car maintenance </t>
  </si>
  <si>
    <t>Groceries</t>
  </si>
  <si>
    <t>Insurance</t>
  </si>
  <si>
    <t>Vehicle Gas</t>
  </si>
  <si>
    <t>Phone Bill</t>
  </si>
  <si>
    <t>Pet Care</t>
  </si>
  <si>
    <t>Housing Gas</t>
  </si>
  <si>
    <t>Entertainment</t>
  </si>
  <si>
    <t>Shopping</t>
  </si>
  <si>
    <t>Savings</t>
  </si>
  <si>
    <t>Education</t>
  </si>
  <si>
    <t>Alcohol</t>
  </si>
  <si>
    <t>Fast Food/Dinning</t>
  </si>
  <si>
    <t xml:space="preserve">Student Loan </t>
  </si>
  <si>
    <t>Misc</t>
  </si>
  <si>
    <t>Total Expense</t>
  </si>
  <si>
    <t xml:space="preserve">Gross Income </t>
  </si>
  <si>
    <t>First Paycheck</t>
  </si>
  <si>
    <t>Second Paychek</t>
  </si>
  <si>
    <t>Other income</t>
  </si>
  <si>
    <t>Net Income</t>
  </si>
  <si>
    <t xml:space="preserve">Cash </t>
  </si>
  <si>
    <t>Remaining Funds at End of Month</t>
  </si>
  <si>
    <t>Checking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</si>
</sst>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\$* #,##0.00_);_(\$* \(#,##0.00\);_(\$* \-??_);_(@_)"/>
    <numFmt numFmtId="165" formatCode="\$#,##0.00_);[Red]&quot;($&quot;#,##0.00\)"/>
  </numFmts>
  <fonts count="15" x14ac:knownFonts="1">
    <font>
      <sz val="11"/>
      <color rgb="FF000000"/>
      <name val="Calibri"/>
      <family val="2"/>
      <charset val="1"/>
    </font>
    <font>
      <sz val="26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rgb="FF385724"/>
      <name val="Calibri"/>
      <family val="2"/>
      <charset val="1"/>
    </font>
    <font>
      <sz val="12"/>
      <color rgb="FF00B050"/>
      <name val="Calibri"/>
      <family val="2"/>
      <charset val="1"/>
    </font>
    <font>
      <sz val="20"/>
      <color rgb="FF7030A0"/>
      <name val="Calibri"/>
      <family val="2"/>
      <charset val="1"/>
    </font>
    <font>
      <sz val="11"/>
      <color rgb="FFFF0000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2"/>
      <color rgb="FF9C0006"/>
      <name val="Calibri"/>
      <family val="2"/>
    </font>
    <font>
      <sz val="14"/>
      <color rgb="FF9C000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</fills>
  <borders count="2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</borders>
  <cellStyleXfs count="2">
    <xf numFmtId="0" fontId="0" fillId="0" borderId="0"/>
    <xf numFmtId="164" fontId="11" fillId="0" borderId="0" applyBorder="0" applyProtection="0"/>
  </cellStyleXfs>
  <cellXfs count="55">
    <xf numFmtId="0" fontId="0" fillId="0" borderId="0" xfId="0"/>
    <xf numFmtId="0" fontId="0" fillId="2" borderId="0" xfId="0" applyFill="1"/>
    <xf numFmtId="0" fontId="2" fillId="0" borderId="1" xfId="0" applyFont="1" applyBorder="1" applyAlignment="1">
      <alignment horizontal="left" indent="7"/>
    </xf>
    <xf numFmtId="0" fontId="3" fillId="0" borderId="2" xfId="0" applyFont="1" applyBorder="1"/>
    <xf numFmtId="164" fontId="0" fillId="0" borderId="3" xfId="1" applyFont="1" applyBorder="1"/>
    <xf numFmtId="164" fontId="0" fillId="0" borderId="2" xfId="1" applyFont="1" applyBorder="1"/>
    <xf numFmtId="164" fontId="0" fillId="0" borderId="4" xfId="0" applyNumberFormat="1" applyBorder="1"/>
    <xf numFmtId="0" fontId="3" fillId="0" borderId="5" xfId="0" applyFont="1" applyBorder="1"/>
    <xf numFmtId="164" fontId="0" fillId="0" borderId="0" xfId="1" applyFont="1"/>
    <xf numFmtId="164" fontId="0" fillId="0" borderId="6" xfId="0" applyNumberFormat="1" applyBorder="1"/>
    <xf numFmtId="0" fontId="3" fillId="0" borderId="5" xfId="1" applyNumberFormat="1" applyFont="1" applyBorder="1"/>
    <xf numFmtId="164" fontId="0" fillId="0" borderId="6" xfId="1" applyFont="1" applyBorder="1"/>
    <xf numFmtId="164" fontId="0" fillId="2" borderId="0" xfId="1" applyFont="1" applyFill="1"/>
    <xf numFmtId="0" fontId="3" fillId="0" borderId="7" xfId="0" applyFont="1" applyBorder="1"/>
    <xf numFmtId="164" fontId="0" fillId="0" borderId="8" xfId="1" applyFont="1" applyBorder="1"/>
    <xf numFmtId="164" fontId="0" fillId="0" borderId="9" xfId="1" applyFont="1" applyBorder="1"/>
    <xf numFmtId="164" fontId="0" fillId="0" borderId="1" xfId="1" applyFont="1" applyBorder="1"/>
    <xf numFmtId="164" fontId="0" fillId="0" borderId="11" xfId="0" applyNumberFormat="1" applyBorder="1"/>
    <xf numFmtId="164" fontId="0" fillId="0" borderId="13" xfId="1" applyFont="1" applyBorder="1"/>
    <xf numFmtId="164" fontId="0" fillId="0" borderId="14" xfId="0" applyNumberFormat="1" applyBorder="1"/>
    <xf numFmtId="0" fontId="6" fillId="0" borderId="15" xfId="0" applyFont="1" applyBorder="1" applyAlignment="1">
      <alignment horizontal="left"/>
    </xf>
    <xf numFmtId="164" fontId="0" fillId="0" borderId="16" xfId="1" applyFont="1" applyBorder="1"/>
    <xf numFmtId="164" fontId="0" fillId="0" borderId="16" xfId="0" applyNumberFormat="1" applyBorder="1"/>
    <xf numFmtId="0" fontId="6" fillId="0" borderId="7" xfId="0" applyFont="1" applyBorder="1" applyAlignment="1">
      <alignment horizontal="left"/>
    </xf>
    <xf numFmtId="164" fontId="0" fillId="0" borderId="18" xfId="0" applyNumberFormat="1" applyBorder="1"/>
    <xf numFmtId="0" fontId="0" fillId="0" borderId="5" xfId="0" applyBorder="1"/>
    <xf numFmtId="164" fontId="0" fillId="0" borderId="0" xfId="0" applyNumberFormat="1"/>
    <xf numFmtId="0" fontId="0" fillId="0" borderId="7" xfId="0" applyBorder="1"/>
    <xf numFmtId="0" fontId="0" fillId="2" borderId="19" xfId="0" applyFill="1" applyBorder="1"/>
    <xf numFmtId="164" fontId="0" fillId="0" borderId="8" xfId="0" applyNumberFormat="1" applyBorder="1"/>
    <xf numFmtId="0" fontId="8" fillId="0" borderId="0" xfId="0" applyFont="1"/>
    <xf numFmtId="165" fontId="0" fillId="0" borderId="0" xfId="0" applyNumberFormat="1"/>
    <xf numFmtId="0" fontId="7" fillId="0" borderId="17" xfId="0" applyFont="1" applyBorder="1"/>
    <xf numFmtId="0" fontId="4" fillId="0" borderId="10" xfId="0" applyFont="1" applyBorder="1"/>
    <xf numFmtId="0" fontId="5" fillId="0" borderId="12" xfId="0" applyFont="1" applyBorder="1"/>
    <xf numFmtId="0" fontId="6" fillId="0" borderId="7" xfId="0" applyFont="1" applyBorder="1"/>
    <xf numFmtId="43" fontId="0" fillId="0" borderId="0" xfId="0" applyNumberFormat="1"/>
    <xf numFmtId="164" fontId="0" fillId="0" borderId="0" xfId="1" applyFont="1" applyBorder="1"/>
    <xf numFmtId="0" fontId="0" fillId="0" borderId="0" xfId="0" applyFill="1"/>
    <xf numFmtId="0" fontId="6" fillId="0" borderId="20" xfId="0" applyFont="1" applyFill="1" applyBorder="1" applyAlignment="1">
      <alignment horizontal="left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1" applyFont="1" applyBorder="1"/>
    <xf numFmtId="164" fontId="0" fillId="0" borderId="24" xfId="1" applyFont="1" applyBorder="1"/>
    <xf numFmtId="164" fontId="0" fillId="0" borderId="23" xfId="0" applyNumberFormat="1" applyBorder="1"/>
    <xf numFmtId="164" fontId="0" fillId="0" borderId="25" xfId="0" applyNumberFormat="1" applyBorder="1"/>
    <xf numFmtId="164" fontId="0" fillId="0" borderId="9" xfId="0" applyNumberFormat="1" applyBorder="1"/>
    <xf numFmtId="164" fontId="0" fillId="0" borderId="19" xfId="0" applyNumberFormat="1" applyBorder="1"/>
    <xf numFmtId="0" fontId="5" fillId="0" borderId="20" xfId="0" applyFont="1" applyBorder="1"/>
    <xf numFmtId="164" fontId="0" fillId="0" borderId="25" xfId="1" applyFont="1" applyBorder="1"/>
    <xf numFmtId="164" fontId="0" fillId="0" borderId="27" xfId="0" applyNumberFormat="1" applyBorder="1"/>
    <xf numFmtId="0" fontId="4" fillId="0" borderId="26" xfId="0" applyFont="1" applyBorder="1"/>
    <xf numFmtId="164" fontId="11" fillId="0" borderId="24" xfId="1" applyBorder="1"/>
    <xf numFmtId="164" fontId="0" fillId="0" borderId="28" xfId="0" applyNumberFormat="1" applyBorder="1"/>
    <xf numFmtId="0" fontId="1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C57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33</xdr:row>
          <xdr:rowOff>85725</xdr:rowOff>
        </xdr:from>
        <xdr:to>
          <xdr:col>6</xdr:col>
          <xdr:colOff>361950</xdr:colOff>
          <xdr:row>36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0</xdr:row>
          <xdr:rowOff>133350</xdr:rowOff>
        </xdr:from>
        <xdr:to>
          <xdr:col>3</xdr:col>
          <xdr:colOff>209550</xdr:colOff>
          <xdr:row>1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</xdr:row>
          <xdr:rowOff>133350</xdr:rowOff>
        </xdr:from>
        <xdr:to>
          <xdr:col>3</xdr:col>
          <xdr:colOff>190500</xdr:colOff>
          <xdr:row>3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29</xdr:row>
          <xdr:rowOff>114300</xdr:rowOff>
        </xdr:from>
        <xdr:to>
          <xdr:col>3</xdr:col>
          <xdr:colOff>219075</xdr:colOff>
          <xdr:row>36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2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dor, Raphael J." id="{83F8FFF6-D8FA-4A64-BFA4-29A216163941}" userId="Sandor, Raphael J.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96498-5B42-40BF-8EED-434B7566BAFD}">
  <sheetPr codeName="Sheet1"/>
  <dimension ref="A1"/>
  <sheetViews>
    <sheetView tabSelected="1" workbookViewId="0">
      <selection activeCell="B16" sqref="B16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gure_Button">
                <anchor moveWithCells="1" sizeWithCells="1">
                  <from>
                    <xdr:col>3</xdr:col>
                    <xdr:colOff>371475</xdr:colOff>
                    <xdr:row>33</xdr:row>
                    <xdr:rowOff>85725</xdr:rowOff>
                  </from>
                  <to>
                    <xdr:col>6</xdr:col>
                    <xdr:colOff>361950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ddExpense">
                <anchor moveWithCells="1">
                  <from>
                    <xdr:col>0</xdr:col>
                    <xdr:colOff>238125</xdr:colOff>
                    <xdr:row>0</xdr:row>
                    <xdr:rowOff>133350</xdr:rowOff>
                  </from>
                  <to>
                    <xdr:col>3</xdr:col>
                    <xdr:colOff>209550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nReport">
                <anchor moveWithCells="1">
                  <from>
                    <xdr:col>0</xdr:col>
                    <xdr:colOff>219075</xdr:colOff>
                    <xdr:row>2</xdr:row>
                    <xdr:rowOff>133350</xdr:rowOff>
                  </from>
                  <to>
                    <xdr:col>3</xdr:col>
                    <xdr:colOff>190500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Refresh">
                <anchor moveWithCells="1">
                  <from>
                    <xdr:col>0</xdr:col>
                    <xdr:colOff>266700</xdr:colOff>
                    <xdr:row>29</xdr:row>
                    <xdr:rowOff>114300</xdr:rowOff>
                  </from>
                  <to>
                    <xdr:col>3</xdr:col>
                    <xdr:colOff>219075</xdr:colOff>
                    <xdr:row>36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6"/>
  <sheetViews>
    <sheetView zoomScale="90" zoomScaleNormal="90" workbookViewId="0">
      <selection sqref="A1:B1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6">
        <f t="shared" ref="N4:N22" si="0"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6">
        <f>SUM(B5:M5)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6">
        <f t="shared" si="0"/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6">
        <f>SUM(B7:M7)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6">
        <f t="shared" si="0"/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6">
        <f t="shared" si="0"/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6">
        <f t="shared" si="0"/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6">
        <f t="shared" si="0"/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6">
        <f t="shared" si="0"/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6">
        <f t="shared" si="0"/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6">
        <f t="shared" si="0"/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6">
        <f t="shared" si="0"/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6">
        <f t="shared" si="0"/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6">
        <f t="shared" si="0"/>
        <v>0</v>
      </c>
      <c r="O17" s="1"/>
    </row>
    <row r="18" spans="1:15" ht="15.75" x14ac:dyDescent="0.25">
      <c r="A18" s="7" t="s">
        <v>31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6">
        <f t="shared" si="0"/>
        <v>0</v>
      </c>
      <c r="O18" s="1"/>
    </row>
    <row r="19" spans="1:15" ht="15.75" x14ac:dyDescent="0.25">
      <c r="A19" s="7" t="s">
        <v>32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6">
        <f t="shared" si="0"/>
        <v>0</v>
      </c>
      <c r="O19" s="1"/>
    </row>
    <row r="20" spans="1:15" ht="16.5" customHeight="1" x14ac:dyDescent="0.25">
      <c r="A20" s="7" t="s">
        <v>33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6">
        <f t="shared" si="0"/>
        <v>0</v>
      </c>
      <c r="O20" s="1"/>
    </row>
    <row r="21" spans="1:15" s="8" customFormat="1" ht="15.75" x14ac:dyDescent="0.25">
      <c r="A21" s="10" t="s">
        <v>34</v>
      </c>
      <c r="C21"/>
      <c r="D21"/>
      <c r="E21"/>
      <c r="F21"/>
      <c r="G21"/>
      <c r="H21"/>
      <c r="I21"/>
      <c r="J21"/>
      <c r="K21"/>
      <c r="L21"/>
      <c r="M21"/>
      <c r="N21" s="6">
        <f t="shared" si="0"/>
        <v>0</v>
      </c>
      <c r="O21" s="12"/>
    </row>
    <row r="22" spans="1:15" ht="16.5" thickBot="1" x14ac:dyDescent="0.3">
      <c r="A22" s="13" t="s">
        <v>35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40">
        <f t="shared" si="0"/>
        <v>0</v>
      </c>
      <c r="O22" s="1"/>
    </row>
    <row r="23" spans="1:15" ht="27.75" thickTop="1" thickBot="1" x14ac:dyDescent="0.45">
      <c r="A23" s="51" t="s">
        <v>36</v>
      </c>
      <c r="B23" s="52">
        <v>0</v>
      </c>
      <c r="C23" s="43">
        <f t="shared" ref="C23:N23" si="1">SUM(C3:C22)</f>
        <v>0</v>
      </c>
      <c r="D23" s="43">
        <f t="shared" si="1"/>
        <v>0</v>
      </c>
      <c r="E23" s="43">
        <f t="shared" si="1"/>
        <v>0</v>
      </c>
      <c r="F23" s="43">
        <f t="shared" si="1"/>
        <v>0</v>
      </c>
      <c r="G23" s="43">
        <f t="shared" si="1"/>
        <v>0</v>
      </c>
      <c r="H23" s="43">
        <f t="shared" si="1"/>
        <v>0</v>
      </c>
      <c r="I23" s="43">
        <f t="shared" si="1"/>
        <v>0</v>
      </c>
      <c r="J23" s="43">
        <f t="shared" si="1"/>
        <v>0</v>
      </c>
      <c r="K23" s="43">
        <f t="shared" si="1"/>
        <v>0</v>
      </c>
      <c r="L23" s="43">
        <f t="shared" si="1"/>
        <v>0</v>
      </c>
      <c r="M23" s="43">
        <f t="shared" si="1"/>
        <v>0</v>
      </c>
      <c r="N23" s="53">
        <f t="shared" si="1"/>
        <v>0</v>
      </c>
      <c r="O23" s="1"/>
    </row>
    <row r="24" spans="1:15" ht="27" thickBot="1" x14ac:dyDescent="0.45">
      <c r="A24" s="48" t="s">
        <v>37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50">
        <f t="shared" ref="N24:N29" si="2">SUM(B24:M24)</f>
        <v>0</v>
      </c>
      <c r="O24" s="1"/>
    </row>
    <row r="25" spans="1:15" ht="16.5" thickBot="1" x14ac:dyDescent="0.3">
      <c r="A25" s="20" t="s">
        <v>38</v>
      </c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47">
        <f t="shared" si="2"/>
        <v>0</v>
      </c>
      <c r="O25" s="1"/>
    </row>
    <row r="26" spans="1:15" ht="17.25" thickTop="1" thickBot="1" x14ac:dyDescent="0.3">
      <c r="A26" s="23" t="s">
        <v>39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47">
        <f t="shared" si="2"/>
        <v>0</v>
      </c>
      <c r="O26" s="1"/>
    </row>
    <row r="27" spans="1:15" ht="17.25" thickTop="1" thickBot="1" x14ac:dyDescent="0.3">
      <c r="A27" s="23" t="s">
        <v>40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46">
        <f t="shared" si="2"/>
        <v>0</v>
      </c>
      <c r="O27" s="1"/>
    </row>
    <row r="28" spans="1:15" ht="17.25" thickTop="1" thickBot="1" x14ac:dyDescent="0.3">
      <c r="A28" s="39" t="s">
        <v>30</v>
      </c>
      <c r="B28" s="42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>
        <f t="shared" si="2"/>
        <v>0</v>
      </c>
      <c r="O28" s="1"/>
    </row>
    <row r="29" spans="1:15" ht="27" thickBot="1" x14ac:dyDescent="0.45">
      <c r="A29" s="32" t="s">
        <v>41</v>
      </c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5">
        <f t="shared" si="2"/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x14ac:dyDescent="0.25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5.75" x14ac:dyDescent="0.25">
      <c r="A33" s="35" t="s">
        <v>43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1"/>
      <c r="O33" s="1"/>
    </row>
    <row r="34" spans="1:1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31" priority="2" operator="greaterThan">
      <formula>70</formula>
    </cfRule>
  </conditionalFormatting>
  <conditionalFormatting sqref="C7">
    <cfRule type="cellIs" dxfId="30" priority="3" operator="greaterThan">
      <formula>20</formula>
    </cfRule>
  </conditionalFormatting>
  <conditionalFormatting sqref="C9">
    <cfRule type="cellIs" dxfId="29" priority="4" operator="greaterThan">
      <formula>300</formula>
    </cfRule>
  </conditionalFormatting>
  <conditionalFormatting sqref="C10">
    <cfRule type="cellIs" dxfId="28" priority="5" operator="greaterThan">
      <formula>400</formula>
    </cfRule>
  </conditionalFormatting>
  <conditionalFormatting sqref="C10:M10">
    <cfRule type="cellIs" dxfId="27" priority="6" operator="greaterThan">
      <formula>400</formula>
    </cfRule>
  </conditionalFormatting>
  <conditionalFormatting sqref="C9:M9">
    <cfRule type="cellIs" dxfId="26" priority="7" operator="greaterThan">
      <formula>300</formula>
    </cfRule>
  </conditionalFormatting>
  <conditionalFormatting sqref="C7:M7">
    <cfRule type="cellIs" dxfId="25" priority="8" operator="greaterThan">
      <formula>20</formula>
    </cfRule>
  </conditionalFormatting>
  <conditionalFormatting sqref="C6:M6">
    <cfRule type="cellIs" dxfId="24" priority="9" operator="greaterThan">
      <formula>50</formula>
    </cfRule>
  </conditionalFormatting>
  <conditionalFormatting sqref="C12:M12">
    <cfRule type="cellIs" dxfId="23" priority="10" operator="greaterThan">
      <formula>60</formula>
    </cfRule>
  </conditionalFormatting>
  <conditionalFormatting sqref="C18:M18">
    <cfRule type="cellIs" dxfId="22" priority="11" operator="greaterThan">
      <formula>100</formula>
    </cfRule>
  </conditionalFormatting>
  <conditionalFormatting sqref="C19:M19">
    <cfRule type="cellIs" dxfId="21" priority="12" operator="greaterThan">
      <formula>30</formula>
    </cfRule>
  </conditionalFormatting>
  <conditionalFormatting sqref="C20:M20">
    <cfRule type="cellIs" dxfId="20" priority="13" operator="greaterThan">
      <formula>50</formula>
    </cfRule>
  </conditionalFormatting>
  <conditionalFormatting sqref="B22:M22">
    <cfRule type="cellIs" dxfId="19" priority="15" operator="greaterThan">
      <formula>250</formula>
    </cfRule>
  </conditionalFormatting>
  <conditionalFormatting sqref="B29:M29">
    <cfRule type="cellIs" dxfId="18" priority="16" operator="greaterThan">
      <formula>1200</formula>
    </cfRule>
    <cfRule type="cellIs" dxfId="17" priority="17" operator="greaterThan">
      <formula>1200</formula>
    </cfRule>
    <cfRule type="cellIs" dxfId="16" priority="18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6"/>
  <sheetViews>
    <sheetView zoomScale="90" zoomScaleNormal="90" workbookViewId="0">
      <selection activeCell="R8" sqref="R8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9">
        <f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>
        <f>SUM(D5:M5)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>
        <f>SUM(D6:M6)</f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9">
        <f>SUM(C7:M7)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>
        <f>SUM(D8:M8)</f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>
        <f>SUM(C9:M9)</f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9">
        <f>SUM(C10:M10)</f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9">
        <f>SUM(B11:M11)</f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9">
        <f>SUM(B12:M12)</f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9">
        <f>SUM(C13:M13)</f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9">
        <f>SUM(C14:M14)</f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9">
        <f>SUM(B15:M15)</f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9">
        <f>SUM(C16:M16)</f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>
        <f>SUM(B17:M17)</f>
        <v>0</v>
      </c>
      <c r="O17" s="1"/>
    </row>
    <row r="18" spans="1:15" ht="15.75" x14ac:dyDescent="0.25">
      <c r="A18" s="7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9">
        <f>SUM(B18:M18)</f>
        <v>0</v>
      </c>
      <c r="O18" s="1"/>
    </row>
    <row r="19" spans="1:15" ht="15.75" x14ac:dyDescent="0.25">
      <c r="A19" s="7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9">
        <f>SUM(B19:M19)</f>
        <v>0</v>
      </c>
      <c r="O19" s="1"/>
    </row>
    <row r="20" spans="1:15" ht="15.75" x14ac:dyDescent="0.25">
      <c r="A20" s="7" t="s">
        <v>32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9">
        <f>SUM(B20:M20)</f>
        <v>0</v>
      </c>
      <c r="O20" s="1"/>
    </row>
    <row r="21" spans="1:15" ht="16.5" customHeight="1" x14ac:dyDescent="0.25">
      <c r="A21" s="7" t="s">
        <v>33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9">
        <f>SUM(B21:M21)</f>
        <v>0</v>
      </c>
      <c r="O21" s="1"/>
    </row>
    <row r="22" spans="1:15" s="8" customFormat="1" ht="15.75" x14ac:dyDescent="0.25">
      <c r="A22" s="10" t="s">
        <v>34</v>
      </c>
      <c r="C22"/>
      <c r="D22"/>
      <c r="E22"/>
      <c r="F22"/>
      <c r="G22"/>
      <c r="H22"/>
      <c r="I22"/>
      <c r="J22"/>
      <c r="K22"/>
      <c r="L22"/>
      <c r="M22"/>
      <c r="N22" s="11">
        <f>SUM(C22:M22)</f>
        <v>0</v>
      </c>
      <c r="O22" s="12"/>
    </row>
    <row r="23" spans="1:15" ht="16.5" thickBot="1" x14ac:dyDescent="0.3">
      <c r="A23" s="13" t="s">
        <v>35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5">
        <f>SUM(D23:M23)</f>
        <v>0</v>
      </c>
      <c r="O23" s="1"/>
    </row>
    <row r="24" spans="1:15" ht="27" thickTop="1" x14ac:dyDescent="0.4">
      <c r="A24" s="33" t="s">
        <v>36</v>
      </c>
      <c r="B24" s="16">
        <f t="shared" ref="B24:M24" si="0">SUM(B3:B23)</f>
        <v>0</v>
      </c>
      <c r="C24" s="16">
        <f t="shared" si="0"/>
        <v>0</v>
      </c>
      <c r="D24" s="16">
        <f>SUM(D3:D23)</f>
        <v>0</v>
      </c>
      <c r="E24" s="16">
        <f t="shared" si="0"/>
        <v>0</v>
      </c>
      <c r="F24" s="16">
        <f t="shared" si="0"/>
        <v>0</v>
      </c>
      <c r="G24" s="16">
        <f t="shared" si="0"/>
        <v>0</v>
      </c>
      <c r="H24" s="16">
        <f t="shared" si="0"/>
        <v>0</v>
      </c>
      <c r="I24" s="16">
        <f t="shared" si="0"/>
        <v>0</v>
      </c>
      <c r="J24" s="16">
        <f t="shared" si="0"/>
        <v>0</v>
      </c>
      <c r="K24" s="16">
        <f t="shared" si="0"/>
        <v>0</v>
      </c>
      <c r="L24" s="16">
        <f t="shared" si="0"/>
        <v>0</v>
      </c>
      <c r="M24" s="16">
        <f t="shared" si="0"/>
        <v>0</v>
      </c>
      <c r="N24" s="17">
        <f>SUM(N3:N23)</f>
        <v>0</v>
      </c>
      <c r="O24" s="1"/>
    </row>
    <row r="25" spans="1:15" ht="27" thickBot="1" x14ac:dyDescent="0.45">
      <c r="A25" s="34" t="s">
        <v>37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9">
        <f>SUM(B25:M25)</f>
        <v>0</v>
      </c>
      <c r="O25" s="1"/>
    </row>
    <row r="26" spans="1:15" ht="16.5" thickBot="1" x14ac:dyDescent="0.3">
      <c r="A26" s="20" t="s">
        <v>38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2">
        <f>SUM(B26:M26)</f>
        <v>0</v>
      </c>
      <c r="O26" s="1"/>
    </row>
    <row r="27" spans="1:15" ht="17.25" thickTop="1" thickBot="1" x14ac:dyDescent="0.3">
      <c r="A27" s="23" t="s">
        <v>39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>
        <f>SUM(B27:M27)</f>
        <v>0</v>
      </c>
      <c r="O27" s="1"/>
    </row>
    <row r="28" spans="1:15" ht="17.25" thickTop="1" thickBot="1" x14ac:dyDescent="0.3">
      <c r="A28" s="23" t="s">
        <v>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22">
        <f>SUM(B28:M28)</f>
        <v>0</v>
      </c>
      <c r="O28" s="1"/>
    </row>
    <row r="29" spans="1:15" ht="27.75" thickTop="1" thickBot="1" x14ac:dyDescent="0.45">
      <c r="A29" s="32" t="s">
        <v>41</v>
      </c>
      <c r="B29" s="24">
        <f>B25-B24</f>
        <v>0</v>
      </c>
      <c r="C29" s="24">
        <f t="shared" ref="C29:M29" si="1">C25-C24+C28</f>
        <v>0</v>
      </c>
      <c r="D29" s="24">
        <f t="shared" si="1"/>
        <v>0</v>
      </c>
      <c r="E29" s="24">
        <f t="shared" si="1"/>
        <v>0</v>
      </c>
      <c r="F29" s="24">
        <f t="shared" si="1"/>
        <v>0</v>
      </c>
      <c r="G29" s="24">
        <f t="shared" si="1"/>
        <v>0</v>
      </c>
      <c r="H29" s="24">
        <f t="shared" si="1"/>
        <v>0</v>
      </c>
      <c r="I29" s="24">
        <f t="shared" si="1"/>
        <v>0</v>
      </c>
      <c r="J29" s="24">
        <f t="shared" si="1"/>
        <v>0</v>
      </c>
      <c r="K29" s="24">
        <f t="shared" si="1"/>
        <v>0</v>
      </c>
      <c r="L29" s="24">
        <f t="shared" si="1"/>
        <v>0</v>
      </c>
      <c r="M29" s="24">
        <f t="shared" si="1"/>
        <v>0</v>
      </c>
      <c r="N29" s="24">
        <f>SUM(B29:M29)</f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ht="15.75" thickBot="1" x14ac:dyDescent="0.3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7.25" thickTop="1" thickBot="1" x14ac:dyDescent="0.3">
      <c r="A33" s="35" t="s">
        <v>43</v>
      </c>
      <c r="B33" s="29">
        <f>B30+B31+B32+B29</f>
        <v>0</v>
      </c>
      <c r="C33" s="29">
        <f>C29+C30+C31+C32</f>
        <v>0</v>
      </c>
      <c r="D33" s="29">
        <f>D30+D32+D29</f>
        <v>0</v>
      </c>
      <c r="E33" s="29">
        <f>E30+E32+E29</f>
        <v>0</v>
      </c>
      <c r="F33" s="29">
        <f t="shared" ref="F33:M33" si="2">F30+F31+F32+F29</f>
        <v>0</v>
      </c>
      <c r="G33" s="29">
        <f t="shared" si="2"/>
        <v>0</v>
      </c>
      <c r="H33" s="29">
        <f t="shared" si="2"/>
        <v>0</v>
      </c>
      <c r="I33" s="29">
        <f t="shared" si="2"/>
        <v>0</v>
      </c>
      <c r="J33" s="29">
        <f t="shared" si="2"/>
        <v>0</v>
      </c>
      <c r="K33" s="29">
        <f t="shared" si="2"/>
        <v>0</v>
      </c>
      <c r="L33" s="29">
        <f t="shared" si="2"/>
        <v>0</v>
      </c>
      <c r="M33" s="29">
        <f t="shared" si="2"/>
        <v>0</v>
      </c>
      <c r="N33" s="1"/>
      <c r="O33" s="1"/>
    </row>
    <row r="34" spans="1:15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15" priority="1" operator="greaterThan">
      <formula>70</formula>
    </cfRule>
  </conditionalFormatting>
  <conditionalFormatting sqref="C7">
    <cfRule type="cellIs" dxfId="14" priority="2" operator="greaterThan">
      <formula>20</formula>
    </cfRule>
  </conditionalFormatting>
  <conditionalFormatting sqref="C9">
    <cfRule type="cellIs" dxfId="13" priority="3" operator="greaterThan">
      <formula>300</formula>
    </cfRule>
  </conditionalFormatting>
  <conditionalFormatting sqref="C10">
    <cfRule type="cellIs" dxfId="12" priority="4" operator="greaterThan">
      <formula>400</formula>
    </cfRule>
  </conditionalFormatting>
  <conditionalFormatting sqref="C10:M10">
    <cfRule type="cellIs" dxfId="11" priority="5" operator="greaterThan">
      <formula>400</formula>
    </cfRule>
  </conditionalFormatting>
  <conditionalFormatting sqref="C9:M9">
    <cfRule type="cellIs" dxfId="10" priority="6" operator="greaterThan">
      <formula>300</formula>
    </cfRule>
  </conditionalFormatting>
  <conditionalFormatting sqref="C7:M7">
    <cfRule type="cellIs" dxfId="9" priority="7" operator="greaterThan">
      <formula>20</formula>
    </cfRule>
  </conditionalFormatting>
  <conditionalFormatting sqref="C6:M6">
    <cfRule type="cellIs" dxfId="8" priority="8" operator="greaterThan">
      <formula>50</formula>
    </cfRule>
  </conditionalFormatting>
  <conditionalFormatting sqref="C12:M12">
    <cfRule type="cellIs" dxfId="7" priority="9" operator="greaterThan">
      <formula>60</formula>
    </cfRule>
  </conditionalFormatting>
  <conditionalFormatting sqref="C19:M19">
    <cfRule type="cellIs" dxfId="6" priority="10" operator="greaterThan">
      <formula>100</formula>
    </cfRule>
  </conditionalFormatting>
  <conditionalFormatting sqref="C20:M20">
    <cfRule type="cellIs" dxfId="5" priority="11" operator="greaterThan">
      <formula>30</formula>
    </cfRule>
  </conditionalFormatting>
  <conditionalFormatting sqref="C21:M21">
    <cfRule type="cellIs" dxfId="4" priority="12" operator="greaterThan">
      <formula>50</formula>
    </cfRule>
  </conditionalFormatting>
  <conditionalFormatting sqref="B23:M23">
    <cfRule type="cellIs" dxfId="3" priority="13" operator="greaterThan">
      <formula>250</formula>
    </cfRule>
  </conditionalFormatting>
  <conditionalFormatting sqref="B29:M29">
    <cfRule type="cellIs" dxfId="2" priority="14" operator="greaterThan">
      <formula>1200</formula>
    </cfRule>
    <cfRule type="cellIs" dxfId="1" priority="15" operator="greaterThan">
      <formula>1200</formula>
    </cfRule>
    <cfRule type="cellIs" dxfId="0" priority="16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8F1A-16D1-40E7-A761-F8BD5D0B9A5B}">
  <sheetPr codeName="Sheet4"/>
  <dimension ref="A1"/>
  <sheetViews>
    <sheetView workbookViewId="0">
      <selection activeCell="L30" sqref="L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CEBD2-97AC-4DD9-8C0C-5CC6A3060B96}">
  <sheetPr codeName="Sheet5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A98-79AB-4F8A-8A82-77EE38DD486F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 Screen</vt:lpstr>
      <vt:lpstr>2019 Budget</vt:lpstr>
      <vt:lpstr>GoalBudget</vt:lpstr>
      <vt:lpstr>Configuration Tab</vt:lpstr>
      <vt:lpstr>Users Manual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Sandor</dc:creator>
  <dc:description/>
  <cp:lastModifiedBy>Raphael Sandor</cp:lastModifiedBy>
  <cp:revision>2</cp:revision>
  <dcterms:created xsi:type="dcterms:W3CDTF">2018-12-08T23:40:18Z</dcterms:created>
  <dcterms:modified xsi:type="dcterms:W3CDTF">2019-04-20T00:59:36Z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