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andor\Documents\projects\excel_budget_project\"/>
    </mc:Choice>
  </mc:AlternateContent>
  <xr:revisionPtr revIDLastSave="0" documentId="13_ncr:1_{4A8C6AA5-50B9-4D9A-A844-B3ECF0A53C62}" xr6:coauthVersionLast="43" xr6:coauthVersionMax="43" xr10:uidLastSave="{00000000-0000-0000-0000-000000000000}"/>
  <bookViews>
    <workbookView xWindow="-28920" yWindow="-120" windowWidth="29040" windowHeight="15840" tabRatio="500" activeTab="4" xr2:uid="{00000000-000D-0000-FFFF-FFFF00000000}"/>
  </bookViews>
  <sheets>
    <sheet name="2019 Budget" sheetId="1" r:id="rId1"/>
    <sheet name="GoalBudget" sheetId="2" r:id="rId2"/>
    <sheet name="Configuration Tab" sheetId="4" r:id="rId3"/>
    <sheet name="Users Manual" sheetId="7" r:id="rId4"/>
    <sheet name="Todo" sheetId="6" r:id="rId5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2" l="1"/>
  <c r="N5" i="2"/>
  <c r="N4" i="2"/>
  <c r="N3" i="2"/>
  <c r="M7" i="2"/>
  <c r="L7" i="2"/>
  <c r="K7" i="2"/>
  <c r="J7" i="2"/>
  <c r="I7" i="2"/>
  <c r="H7" i="2"/>
  <c r="G7" i="2"/>
  <c r="F7" i="2"/>
  <c r="E7" i="2"/>
  <c r="D7" i="2"/>
  <c r="N7" i="2" s="1"/>
  <c r="C7" i="2"/>
  <c r="B7" i="2"/>
  <c r="N4" i="1"/>
  <c r="N5" i="1"/>
  <c r="N6" i="1"/>
  <c r="N3" i="1"/>
  <c r="C7" i="1"/>
  <c r="D7" i="1"/>
  <c r="E7" i="1"/>
  <c r="F7" i="1"/>
  <c r="G7" i="1"/>
  <c r="H7" i="1"/>
  <c r="I7" i="1"/>
  <c r="J7" i="1"/>
  <c r="K7" i="1"/>
  <c r="L7" i="1"/>
  <c r="M7" i="1"/>
  <c r="B7" i="1"/>
  <c r="N7" i="1" l="1"/>
</calcChain>
</file>

<file path=xl/sharedStrings.xml><?xml version="1.0" encoding="utf-8"?>
<sst xmlns="http://schemas.openxmlformats.org/spreadsheetml/2006/main" count="89" uniqueCount="48">
  <si>
    <t>2019 Budget</t>
  </si>
  <si>
    <t>Expenses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</si>
  <si>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</si>
  <si>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</si>
  <si>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</si>
  <si>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</si>
  <si>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</si>
  <si>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</si>
  <si>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</si>
  <si>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</si>
  <si>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</si>
  <si>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</si>
  <si>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</si>
  <si>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</si>
  <si>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Totals </t>
  </si>
  <si>
    <t>Savings</t>
  </si>
  <si>
    <t xml:space="preserve">Gross Income </t>
  </si>
  <si>
    <t>First Paycheck</t>
  </si>
  <si>
    <t>Second Paychek</t>
  </si>
  <si>
    <t>Other income</t>
  </si>
  <si>
    <t xml:space="preserve">Cash </t>
  </si>
  <si>
    <t>Remaining Funds at End of Month</t>
  </si>
  <si>
    <t>salary</t>
  </si>
  <si>
    <t>Pay Days</t>
  </si>
  <si>
    <t>Imputed Income</t>
  </si>
  <si>
    <t>Retirement Contributions</t>
  </si>
  <si>
    <t>Tax Rate</t>
  </si>
  <si>
    <t>Pay Check amount</t>
  </si>
  <si>
    <t>Configuration Values</t>
  </si>
  <si>
    <t>GrossIncome</t>
  </si>
  <si>
    <t>Starting bank balance</t>
  </si>
  <si>
    <t>Savings accounts</t>
  </si>
  <si>
    <t>Loans</t>
  </si>
  <si>
    <t>Interest of loan</t>
  </si>
  <si>
    <t>headers</t>
  </si>
  <si>
    <t>Title</t>
  </si>
  <si>
    <t>Pay</t>
  </si>
  <si>
    <t>Post Tax Salary</t>
  </si>
  <si>
    <t>Checking accounts balance</t>
  </si>
  <si>
    <t>Account Balances</t>
  </si>
  <si>
    <t>Total Expenses</t>
  </si>
  <si>
    <t>Debt/Loan Balances</t>
  </si>
  <si>
    <t>accountBalances</t>
  </si>
  <si>
    <t>debts</t>
  </si>
  <si>
    <t>lastRefresh</t>
  </si>
  <si>
    <t>Date Validation on user input</t>
  </si>
  <si>
    <t>Add expense to spreadsheet</t>
  </si>
  <si>
    <t>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</si>
</sst>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_(\$* #,##0.00_);_(\$* \(#,##0.00\);_(\$* \-??_);_(@_)"/>
    <numFmt numFmtId="165" formatCode="\$#,##0.00_);[Red]&quot;($&quot;#,##0.00\)"/>
  </numFmts>
  <fonts count="19" x14ac:knownFonts="1">
    <font>
      <sz val="11"/>
      <color rgb="FF000000"/>
      <name val="Calibri"/>
      <family val="2"/>
      <charset val="1"/>
    </font>
    <font>
      <sz val="26"/>
      <color rgb="FFFFFFFF"/>
      <name val="Calibri"/>
      <family val="2"/>
      <charset val="1"/>
    </font>
    <font>
      <sz val="20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rgb="FF385724"/>
      <name val="Calibri"/>
      <family val="2"/>
      <charset val="1"/>
    </font>
    <font>
      <sz val="12"/>
      <color rgb="FF00B050"/>
      <name val="Calibri"/>
      <family val="2"/>
      <charset val="1"/>
    </font>
    <font>
      <sz val="20"/>
      <color rgb="FF7030A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2"/>
      <color rgb="FF9C0006"/>
      <name val="Calibri"/>
      <family val="2"/>
    </font>
    <font>
      <sz val="14"/>
      <color rgb="FF9C0006"/>
      <name val="Calibri"/>
      <family val="2"/>
    </font>
    <font>
      <b/>
      <sz val="11"/>
      <color rgb="FF000000"/>
      <name val="Calibri"/>
      <family val="2"/>
    </font>
    <font>
      <sz val="20"/>
      <color theme="0"/>
      <name val="Calibri"/>
      <family val="2"/>
      <charset val="1"/>
    </font>
    <font>
      <sz val="12"/>
      <color theme="1"/>
      <name val="Calibri"/>
      <family val="2"/>
      <charset val="1"/>
    </font>
    <font>
      <sz val="12"/>
      <color theme="4"/>
      <name val="Calibri"/>
      <family val="2"/>
      <charset val="1"/>
    </font>
    <font>
      <sz val="16"/>
      <color rgb="FFFF0000"/>
      <name val="Calibri"/>
      <family val="2"/>
      <charset val="1"/>
    </font>
    <font>
      <sz val="8"/>
      <name val="Calibri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9" fillId="0" borderId="0" applyBorder="0" applyProtection="0"/>
  </cellStyleXfs>
  <cellXfs count="44">
    <xf numFmtId="0" fontId="0" fillId="0" borderId="0" xfId="0"/>
    <xf numFmtId="0" fontId="0" fillId="2" borderId="0" xfId="0" applyFill="1"/>
    <xf numFmtId="164" fontId="0" fillId="0" borderId="0" xfId="1" applyFont="1"/>
    <xf numFmtId="164" fontId="0" fillId="0" borderId="0" xfId="0" applyNumberFormat="1"/>
    <xf numFmtId="0" fontId="8" fillId="0" borderId="0" xfId="0" applyFont="1"/>
    <xf numFmtId="165" fontId="0" fillId="0" borderId="0" xfId="0" applyNumberFormat="1"/>
    <xf numFmtId="43" fontId="0" fillId="0" borderId="0" xfId="0" applyNumberFormat="1"/>
    <xf numFmtId="164" fontId="0" fillId="0" borderId="0" xfId="1" applyFont="1" applyBorder="1"/>
    <xf numFmtId="0" fontId="0" fillId="0" borderId="0" xfId="0" applyFill="1"/>
    <xf numFmtId="164" fontId="0" fillId="0" borderId="0" xfId="0" applyNumberFormat="1" applyBorder="1"/>
    <xf numFmtId="0" fontId="0" fillId="0" borderId="0" xfId="0" applyBorder="1"/>
    <xf numFmtId="0" fontId="0" fillId="3" borderId="0" xfId="0" applyFill="1"/>
    <xf numFmtId="0" fontId="13" fillId="3" borderId="0" xfId="0" applyFont="1" applyFill="1"/>
    <xf numFmtId="0" fontId="2" fillId="0" borderId="0" xfId="0" applyFont="1" applyBorder="1" applyAlignment="1">
      <alignment horizontal="left" indent="7"/>
    </xf>
    <xf numFmtId="0" fontId="3" fillId="0" borderId="0" xfId="0" applyFont="1" applyBorder="1"/>
    <xf numFmtId="0" fontId="4" fillId="0" borderId="0" xfId="0" applyFont="1" applyBorder="1"/>
    <xf numFmtId="0" fontId="5" fillId="0" borderId="0" xfId="0" applyFont="1" applyBorder="1"/>
    <xf numFmtId="0" fontId="6" fillId="0" borderId="0" xfId="0" applyFont="1" applyBorder="1"/>
    <xf numFmtId="164" fontId="0" fillId="4" borderId="0" xfId="1" applyFont="1" applyFill="1" applyBorder="1"/>
    <xf numFmtId="164" fontId="0" fillId="4" borderId="0" xfId="0" applyNumberFormat="1" applyFill="1" applyBorder="1"/>
    <xf numFmtId="0" fontId="14" fillId="4" borderId="0" xfId="0" applyFont="1" applyFill="1" applyBorder="1"/>
    <xf numFmtId="0" fontId="15" fillId="0" borderId="0" xfId="0" applyFont="1" applyFill="1" applyBorder="1" applyAlignment="1">
      <alignment horizontal="left"/>
    </xf>
    <xf numFmtId="164" fontId="0" fillId="5" borderId="0" xfId="0" applyNumberFormat="1" applyFill="1" applyBorder="1"/>
    <xf numFmtId="164" fontId="0" fillId="5" borderId="0" xfId="1" applyFont="1" applyFill="1" applyBorder="1"/>
    <xf numFmtId="0" fontId="16" fillId="5" borderId="1" xfId="0" applyFont="1" applyFill="1" applyBorder="1" applyAlignment="1">
      <alignment horizontal="left"/>
    </xf>
    <xf numFmtId="0" fontId="7" fillId="4" borderId="3" xfId="0" applyFont="1" applyFill="1" applyBorder="1"/>
    <xf numFmtId="0" fontId="16" fillId="5" borderId="2" xfId="0" applyFont="1" applyFill="1" applyBorder="1" applyAlignment="1">
      <alignment horizontal="left"/>
    </xf>
    <xf numFmtId="0" fontId="0" fillId="4" borderId="0" xfId="0" applyFill="1" applyBorder="1"/>
    <xf numFmtId="0" fontId="17" fillId="4" borderId="0" xfId="0" applyFont="1" applyFill="1" applyBorder="1"/>
    <xf numFmtId="0" fontId="0" fillId="3" borderId="0" xfId="0" applyFill="1" applyBorder="1"/>
    <xf numFmtId="164" fontId="0" fillId="3" borderId="0" xfId="0" applyNumberFormat="1" applyFill="1" applyBorder="1"/>
    <xf numFmtId="8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5" fontId="0" fillId="6" borderId="0" xfId="0" applyNumberFormat="1" applyFill="1"/>
    <xf numFmtId="0" fontId="0" fillId="6" borderId="0" xfId="0" applyFill="1"/>
    <xf numFmtId="164" fontId="0" fillId="6" borderId="0" xfId="1" applyFont="1" applyFill="1"/>
    <xf numFmtId="0" fontId="0" fillId="0" borderId="4" xfId="0" applyBorder="1" applyAlignment="1">
      <alignment horizontal="center"/>
    </xf>
    <xf numFmtId="164" fontId="0" fillId="0" borderId="5" xfId="0" applyNumberFormat="1" applyBorder="1"/>
    <xf numFmtId="164" fontId="0" fillId="4" borderId="5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0" fontId="0" fillId="0" borderId="4" xfId="0" applyBorder="1"/>
    <xf numFmtId="164" fontId="0" fillId="4" borderId="6" xfId="0" applyNumberFormat="1" applyFill="1" applyBorder="1"/>
  </cellXfs>
  <cellStyles count="2">
    <cellStyle name="Currency" xfId="1" builtinId="4"/>
    <cellStyle name="Normal" xfId="0" builtinId="0"/>
  </cellStyles>
  <dxfs count="1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EB9C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C5700"/>
      <rgbColor rgb="FF993366"/>
      <rgbColor rgb="FF333399"/>
      <rgbColor rgb="FF385724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28</xdr:row>
      <xdr:rowOff>95250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232834</xdr:colOff>
          <xdr:row>18</xdr:row>
          <xdr:rowOff>31751</xdr:rowOff>
        </xdr:from>
        <xdr:to>
          <xdr:col>13</xdr:col>
          <xdr:colOff>476251</xdr:colOff>
          <xdr:row>18</xdr:row>
          <xdr:rowOff>878417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846667</xdr:colOff>
          <xdr:row>17</xdr:row>
          <xdr:rowOff>186266</xdr:rowOff>
        </xdr:from>
        <xdr:to>
          <xdr:col>7</xdr:col>
          <xdr:colOff>31752</xdr:colOff>
          <xdr:row>18</xdr:row>
          <xdr:rowOff>624417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508002</xdr:colOff>
          <xdr:row>18</xdr:row>
          <xdr:rowOff>35983</xdr:rowOff>
        </xdr:from>
        <xdr:to>
          <xdr:col>14</xdr:col>
          <xdr:colOff>1598084</xdr:colOff>
          <xdr:row>18</xdr:row>
          <xdr:rowOff>878417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2124075</xdr:colOff>
          <xdr:row>18</xdr:row>
          <xdr:rowOff>21168</xdr:rowOff>
        </xdr:from>
        <xdr:to>
          <xdr:col>2</xdr:col>
          <xdr:colOff>1005416</xdr:colOff>
          <xdr:row>18</xdr:row>
          <xdr:rowOff>624417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New Expense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42334</xdr:colOff>
          <xdr:row>18</xdr:row>
          <xdr:rowOff>0</xdr:rowOff>
        </xdr:from>
        <xdr:to>
          <xdr:col>9</xdr:col>
          <xdr:colOff>84667</xdr:colOff>
          <xdr:row>18</xdr:row>
          <xdr:rowOff>624417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Adjustments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1037166</xdr:colOff>
          <xdr:row>18</xdr:row>
          <xdr:rowOff>10582</xdr:rowOff>
        </xdr:from>
        <xdr:to>
          <xdr:col>4</xdr:col>
          <xdr:colOff>825500</xdr:colOff>
          <xdr:row>18</xdr:row>
          <xdr:rowOff>624417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Remove Expense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0</xdr:colOff>
          <xdr:row>18</xdr:row>
          <xdr:rowOff>21166</xdr:rowOff>
        </xdr:from>
        <xdr:ext cx="2110317" cy="603250"/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2A11642E-D003-4593-8BF0-87C080A38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9C0006"/>
                  </a:solidFill>
                  <a:latin typeface="Calibri"/>
                  <a:cs typeface="Calibri"/>
                </a:rPr>
                <a:t>Add Expense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447675</xdr:colOff>
      <xdr:row>44</xdr:row>
      <xdr:rowOff>95250</xdr:rowOff>
    </xdr:to>
    <xdr:sp macro="" textlink="">
      <xdr:nvSpPr>
        <xdr:cNvPr id="2052" name="shapetype_202" hidden="1">
          <a:extLs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447675</xdr:colOff>
      <xdr:row>43</xdr:row>
      <xdr:rowOff>95250</xdr:rowOff>
    </xdr:to>
    <xdr:sp macro="" textlink="">
      <xdr:nvSpPr>
        <xdr:cNvPr id="2050" name="shapetype_202" hidden="1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7"/>
  <sheetViews>
    <sheetView zoomScale="90" zoomScaleNormal="90" workbookViewId="0">
      <selection activeCell="N6" sqref="N6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24.140625" customWidth="1"/>
    <col min="16" max="16" width="33" style="35" customWidth="1"/>
    <col min="17" max="21" width="8.5703125" style="35" customWidth="1"/>
    <col min="22" max="1025" width="8.5703125" customWidth="1"/>
  </cols>
  <sheetData>
    <row r="1" spans="1:21" ht="42" customHeight="1" x14ac:dyDescent="0.5">
      <c r="A1" s="33" t="s">
        <v>0</v>
      </c>
      <c r="B1" s="33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 t="s">
        <v>35</v>
      </c>
    </row>
    <row r="2" spans="1:21" ht="34.5" customHeight="1" x14ac:dyDescent="0.4">
      <c r="A2" s="13" t="s">
        <v>1</v>
      </c>
      <c r="B2" s="32" t="s">
        <v>2</v>
      </c>
      <c r="C2" s="32" t="s">
        <v>3</v>
      </c>
      <c r="D2" s="32" t="s">
        <v>4</v>
      </c>
      <c r="E2" s="32" t="s">
        <v>5</v>
      </c>
      <c r="F2" s="32" t="s">
        <v>6</v>
      </c>
      <c r="G2" s="32" t="s">
        <v>7</v>
      </c>
      <c r="H2" s="32" t="s">
        <v>8</v>
      </c>
      <c r="I2" s="32" t="s">
        <v>9</v>
      </c>
      <c r="J2" s="32" t="s">
        <v>10</v>
      </c>
      <c r="K2" s="32" t="s">
        <v>11</v>
      </c>
      <c r="L2" s="32" t="s">
        <v>12</v>
      </c>
      <c r="M2" s="32" t="s">
        <v>13</v>
      </c>
      <c r="N2" s="37" t="s">
        <v>14</v>
      </c>
      <c r="O2" s="1" t="s">
        <v>34</v>
      </c>
    </row>
    <row r="3" spans="1:21" ht="15.75" x14ac:dyDescent="0.25">
      <c r="A3" s="14" t="s">
        <v>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38">
        <f>SUM(B3:M3)</f>
        <v>0</v>
      </c>
      <c r="O3" s="1" t="s">
        <v>1</v>
      </c>
    </row>
    <row r="4" spans="1:21" ht="15.75" x14ac:dyDescent="0.25">
      <c r="A4" s="14" t="s">
        <v>47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38">
        <f t="shared" ref="N4:N6" si="0">SUM(B4:M4)</f>
        <v>0</v>
      </c>
      <c r="O4" s="1" t="s">
        <v>1</v>
      </c>
    </row>
    <row r="5" spans="1:21" ht="26.25" x14ac:dyDescent="0.4">
      <c r="A5" s="15" t="s">
        <v>40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38">
        <f t="shared" si="0"/>
        <v>0</v>
      </c>
      <c r="O5" s="1"/>
    </row>
    <row r="6" spans="1:21" ht="26.25" x14ac:dyDescent="0.4">
      <c r="A6" s="16" t="s">
        <v>16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38">
        <f t="shared" si="0"/>
        <v>0</v>
      </c>
      <c r="O6" s="1" t="s">
        <v>36</v>
      </c>
    </row>
    <row r="7" spans="1:21" ht="26.25" x14ac:dyDescent="0.4">
      <c r="A7" s="25" t="s">
        <v>37</v>
      </c>
      <c r="B7" s="19">
        <f>'Configuration Tab'!$B$8/12</f>
        <v>5000</v>
      </c>
      <c r="C7" s="19">
        <f>'Configuration Tab'!$B$8/12</f>
        <v>5000</v>
      </c>
      <c r="D7" s="19">
        <f>'Configuration Tab'!$B$8/12</f>
        <v>5000</v>
      </c>
      <c r="E7" s="19">
        <f>'Configuration Tab'!$B$8/12</f>
        <v>5000</v>
      </c>
      <c r="F7" s="19">
        <f>'Configuration Tab'!$B$8/12</f>
        <v>5000</v>
      </c>
      <c r="G7" s="19">
        <f>'Configuration Tab'!$B$8/12</f>
        <v>5000</v>
      </c>
      <c r="H7" s="19">
        <f>'Configuration Tab'!$B$8/12</f>
        <v>5000</v>
      </c>
      <c r="I7" s="19">
        <f>'Configuration Tab'!$B$8/12</f>
        <v>5000</v>
      </c>
      <c r="J7" s="19">
        <f>'Configuration Tab'!$B$8/12</f>
        <v>5000</v>
      </c>
      <c r="K7" s="19">
        <f>'Configuration Tab'!$B$8/12</f>
        <v>5000</v>
      </c>
      <c r="L7" s="19">
        <f>'Configuration Tab'!$B$8/12</f>
        <v>5000</v>
      </c>
      <c r="M7" s="19">
        <f>'Configuration Tab'!$B$8/12</f>
        <v>5000</v>
      </c>
      <c r="N7" s="39">
        <f>SUM(B7:M7)</f>
        <v>60000</v>
      </c>
      <c r="O7" s="1"/>
    </row>
    <row r="8" spans="1:21" ht="15.75" x14ac:dyDescent="0.25">
      <c r="A8" s="24" t="s">
        <v>17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40"/>
      <c r="O8" s="1"/>
    </row>
    <row r="9" spans="1:21" ht="15.75" x14ac:dyDescent="0.25">
      <c r="A9" s="24" t="s">
        <v>18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40"/>
      <c r="O9" s="1" t="s">
        <v>29</v>
      </c>
    </row>
    <row r="10" spans="1:21" ht="15.75" x14ac:dyDescent="0.25">
      <c r="A10" s="26" t="s">
        <v>19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41"/>
      <c r="O10" s="11" t="s">
        <v>42</v>
      </c>
    </row>
    <row r="11" spans="1:21" x14ac:dyDescent="0.25">
      <c r="A11" s="10" t="s">
        <v>38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29"/>
      <c r="O11" s="12"/>
    </row>
    <row r="12" spans="1:21" x14ac:dyDescent="0.25">
      <c r="A12" s="10" t="s">
        <v>15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30"/>
      <c r="O12" s="1"/>
    </row>
    <row r="13" spans="1:21" s="8" customFormat="1" x14ac:dyDescent="0.25">
      <c r="A13" s="10" t="s">
        <v>20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29"/>
      <c r="O13" s="11"/>
      <c r="R13" s="35"/>
      <c r="S13" s="35"/>
      <c r="T13" s="35"/>
      <c r="U13" s="35"/>
    </row>
    <row r="14" spans="1:21" ht="15.75" x14ac:dyDescent="0.25">
      <c r="A14" s="21" t="s">
        <v>15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30"/>
      <c r="O14" s="1"/>
    </row>
    <row r="15" spans="1:21" ht="15.75" x14ac:dyDescent="0.25">
      <c r="A15" s="17" t="s">
        <v>21</v>
      </c>
      <c r="N15" s="11"/>
      <c r="O15" s="11"/>
    </row>
    <row r="16" spans="1:21" ht="21" x14ac:dyDescent="0.35">
      <c r="A16" s="28" t="s">
        <v>41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9"/>
      <c r="O16" s="11"/>
    </row>
    <row r="17" spans="1:21" x14ac:dyDescent="0.25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1"/>
      <c r="O17" s="1"/>
      <c r="S17"/>
      <c r="T17"/>
      <c r="U17"/>
    </row>
    <row r="18" spans="1:2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S18"/>
      <c r="T18"/>
      <c r="U18"/>
    </row>
    <row r="19" spans="1:21" s="35" customFormat="1" ht="111" customHeight="1" x14ac:dyDescent="0.25">
      <c r="B19" s="34"/>
      <c r="C19" s="34"/>
      <c r="F19" s="34"/>
      <c r="I19" s="34"/>
      <c r="L19" s="34"/>
      <c r="M19" s="34"/>
      <c r="N19" s="34"/>
    </row>
    <row r="20" spans="1:21" s="35" customFormat="1" hidden="1" x14ac:dyDescent="0.25"/>
    <row r="21" spans="1:21" s="35" customFormat="1" ht="40.5" customHeight="1" x14ac:dyDescent="0.25"/>
    <row r="22" spans="1:21" s="35" customFormat="1" ht="30.75" customHeight="1" x14ac:dyDescent="0.25"/>
    <row r="23" spans="1:21" s="35" customFormat="1" ht="14.25" customHeight="1" x14ac:dyDescent="0.25"/>
    <row r="24" spans="1:21" s="35" customFormat="1" ht="31.5" customHeight="1" x14ac:dyDescent="0.25"/>
    <row r="25" spans="1:21" s="35" customFormat="1" ht="0.75" hidden="1" customHeight="1" x14ac:dyDescent="0.25"/>
    <row r="26" spans="1:21" s="35" customFormat="1" ht="16.5" customHeight="1" x14ac:dyDescent="0.25"/>
    <row r="27" spans="1:21" s="36" customFormat="1" ht="2.25" customHeight="1" x14ac:dyDescent="0.25">
      <c r="C27" s="35"/>
      <c r="D27" s="35"/>
      <c r="E27" s="35"/>
      <c r="F27" s="35"/>
      <c r="G27" s="35"/>
      <c r="H27" s="35"/>
      <c r="I27" s="35"/>
      <c r="L27" s="35"/>
      <c r="M27" s="35"/>
      <c r="N27" s="35"/>
      <c r="O27" s="35"/>
    </row>
    <row r="28" spans="1:21" s="35" customFormat="1" hidden="1" x14ac:dyDescent="0.25"/>
    <row r="29" spans="1:21" s="35" customFormat="1" x14ac:dyDescent="0.25"/>
    <row r="30" spans="1:21" s="35" customFormat="1" x14ac:dyDescent="0.25"/>
    <row r="31" spans="1:21" s="35" customFormat="1" x14ac:dyDescent="0.25"/>
    <row r="32" spans="1:21" s="35" customFormat="1" x14ac:dyDescent="0.25"/>
    <row r="33" spans="1:2" s="35" customFormat="1" x14ac:dyDescent="0.25"/>
    <row r="34" spans="1:2" s="35" customFormat="1" x14ac:dyDescent="0.25"/>
    <row r="35" spans="1:2" s="35" customFormat="1" x14ac:dyDescent="0.25"/>
    <row r="36" spans="1:2" x14ac:dyDescent="0.25">
      <c r="A36" s="35"/>
      <c r="B36" s="35"/>
    </row>
    <row r="37" spans="1:2" x14ac:dyDescent="0.25">
      <c r="A37" s="35"/>
      <c r="B37" s="35"/>
    </row>
  </sheetData>
  <mergeCells count="1">
    <mergeCell ref="A1:B1"/>
  </mergeCells>
  <phoneticPr fontId="18" type="noConversion"/>
  <conditionalFormatting sqref="B4:M4">
    <cfRule type="cellIs" dxfId="18" priority="19" operator="greaterThan">
      <formula>250</formula>
    </cfRule>
  </conditionalFormatting>
  <conditionalFormatting sqref="B5:M5 B8:M10">
    <cfRule type="cellIs" dxfId="17" priority="20" operator="greaterThan">
      <formula>1200</formula>
    </cfRule>
    <cfRule type="cellIs" dxfId="16" priority="21" operator="greaterThan">
      <formula>1200</formula>
    </cfRule>
    <cfRule type="cellIs" dxfId="15" priority="22" operator="greaterThan">
      <formula>1000</formula>
    </cfRule>
  </conditionalFormatting>
  <conditionalFormatting sqref="B3:M3">
    <cfRule type="cellIs" dxfId="14" priority="4" operator="greaterThan">
      <formula>250</formula>
    </cfRule>
  </conditionalFormatting>
  <conditionalFormatting sqref="B7:M7">
    <cfRule type="cellIs" dxfId="13" priority="1" operator="greaterThan">
      <formula>1200</formula>
    </cfRule>
    <cfRule type="cellIs" dxfId="12" priority="2" operator="greaterThan">
      <formula>1200</formula>
    </cfRule>
    <cfRule type="cellIs" dxfId="11" priority="3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nReport">
                <anchor moveWithCells="1">
                  <from>
                    <xdr:col>11</xdr:col>
                    <xdr:colOff>228600</xdr:colOff>
                    <xdr:row>18</xdr:row>
                    <xdr:rowOff>28575</xdr:rowOff>
                  </from>
                  <to>
                    <xdr:col>13</xdr:col>
                    <xdr:colOff>476250</xdr:colOff>
                    <xdr:row>18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fresh">
                <anchor moveWithCells="1">
                  <from>
                    <xdr:col>4</xdr:col>
                    <xdr:colOff>847725</xdr:colOff>
                    <xdr:row>17</xdr:row>
                    <xdr:rowOff>190500</xdr:rowOff>
                  </from>
                  <to>
                    <xdr:col>7</xdr:col>
                    <xdr:colOff>28575</xdr:colOff>
                    <xdr:row>18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nfigure_Button">
                <anchor moveWithCells="1" sizeWithCells="1">
                  <from>
                    <xdr:col>13</xdr:col>
                    <xdr:colOff>504825</xdr:colOff>
                    <xdr:row>18</xdr:row>
                    <xdr:rowOff>38100</xdr:rowOff>
                  </from>
                  <to>
                    <xdr:col>14</xdr:col>
                    <xdr:colOff>1600200</xdr:colOff>
                    <xdr:row>18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AddExpense">
                <anchor moveWithCells="1">
                  <from>
                    <xdr:col>0</xdr:col>
                    <xdr:colOff>2124075</xdr:colOff>
                    <xdr:row>18</xdr:row>
                    <xdr:rowOff>19050</xdr:rowOff>
                  </from>
                  <to>
                    <xdr:col>2</xdr:col>
                    <xdr:colOff>1009650</xdr:colOff>
                    <xdr:row>18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adjustments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9</xdr:col>
                    <xdr:colOff>85725</xdr:colOff>
                    <xdr:row>18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remExpCat">
                <anchor moveWithCells="1">
                  <from>
                    <xdr:col>2</xdr:col>
                    <xdr:colOff>1038225</xdr:colOff>
                    <xdr:row>18</xdr:row>
                    <xdr:rowOff>9525</xdr:rowOff>
                  </from>
                  <to>
                    <xdr:col>4</xdr:col>
                    <xdr:colOff>828675</xdr:colOff>
                    <xdr:row>18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AddExpense">
                <anchor moveWithCells="1">
                  <from>
                    <xdr:col>0</xdr:col>
                    <xdr:colOff>0</xdr:colOff>
                    <xdr:row>18</xdr:row>
                    <xdr:rowOff>19050</xdr:rowOff>
                  </from>
                  <to>
                    <xdr:col>0</xdr:col>
                    <xdr:colOff>2114550</xdr:colOff>
                    <xdr:row>18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1"/>
  <sheetViews>
    <sheetView zoomScaleNormal="100" workbookViewId="0">
      <selection activeCell="C5" sqref="C5"/>
    </sheetView>
  </sheetViews>
  <sheetFormatPr defaultRowHeight="15" x14ac:dyDescent="0.25"/>
  <cols>
    <col min="1" max="1" width="31.85546875" customWidth="1"/>
    <col min="2" max="2" width="15.140625" customWidth="1"/>
    <col min="3" max="3" width="16.28515625" customWidth="1"/>
    <col min="4" max="4" width="12.7109375" customWidth="1"/>
    <col min="5" max="5" width="15" customWidth="1"/>
    <col min="6" max="6" width="14.28515625" customWidth="1"/>
    <col min="7" max="7" width="13.85546875" customWidth="1"/>
    <col min="8" max="8" width="17" customWidth="1"/>
    <col min="9" max="9" width="14" customWidth="1"/>
    <col min="10" max="10" width="15.28515625" customWidth="1"/>
    <col min="11" max="11" width="14.28515625" customWidth="1"/>
    <col min="12" max="12" width="13.85546875" customWidth="1"/>
    <col min="13" max="13" width="14.28515625" customWidth="1"/>
    <col min="14" max="14" width="14.85546875" customWidth="1"/>
    <col min="15" max="15" width="17.28515625" customWidth="1"/>
    <col min="16" max="1025" width="8.5703125" customWidth="1"/>
  </cols>
  <sheetData>
    <row r="1" spans="1:16" ht="33.75" x14ac:dyDescent="0.5">
      <c r="A1" s="33" t="s">
        <v>0</v>
      </c>
      <c r="B1" s="33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 t="s">
        <v>35</v>
      </c>
      <c r="P1" s="8"/>
    </row>
    <row r="2" spans="1:16" ht="26.25" x14ac:dyDescent="0.4">
      <c r="A2" s="13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s="42" t="s">
        <v>14</v>
      </c>
      <c r="O2" s="1" t="s">
        <v>34</v>
      </c>
    </row>
    <row r="3" spans="1:16" ht="15.75" x14ac:dyDescent="0.25">
      <c r="A3" s="14" t="s">
        <v>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38">
        <f>SUM(B3:M3)</f>
        <v>0</v>
      </c>
      <c r="O3" s="1" t="s">
        <v>1</v>
      </c>
    </row>
    <row r="4" spans="1:16" ht="15.75" x14ac:dyDescent="0.25">
      <c r="A4" s="14" t="s">
        <v>47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38">
        <f t="shared" ref="N4:N6" si="0">SUM(B4:M4)</f>
        <v>0</v>
      </c>
      <c r="O4" s="1" t="s">
        <v>1</v>
      </c>
    </row>
    <row r="5" spans="1:16" ht="26.25" x14ac:dyDescent="0.4">
      <c r="A5" s="15" t="s">
        <v>1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38">
        <f t="shared" si="0"/>
        <v>0</v>
      </c>
      <c r="O5" s="1"/>
    </row>
    <row r="6" spans="1:16" ht="26.25" x14ac:dyDescent="0.4">
      <c r="A6" s="16" t="s">
        <v>16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38">
        <f t="shared" si="0"/>
        <v>0</v>
      </c>
      <c r="O6" s="1" t="s">
        <v>29</v>
      </c>
    </row>
    <row r="7" spans="1:16" ht="26.25" x14ac:dyDescent="0.4">
      <c r="A7" s="25" t="s">
        <v>37</v>
      </c>
      <c r="B7" s="19">
        <f>'Configuration Tab'!$B$8/12</f>
        <v>5000</v>
      </c>
      <c r="C7" s="19">
        <f>'Configuration Tab'!$B$8/12</f>
        <v>5000</v>
      </c>
      <c r="D7" s="19">
        <f>'Configuration Tab'!$B$8/12</f>
        <v>5000</v>
      </c>
      <c r="E7" s="19">
        <f>'Configuration Tab'!$B$8/12</f>
        <v>5000</v>
      </c>
      <c r="F7" s="19">
        <f>'Configuration Tab'!$B$8/12</f>
        <v>5000</v>
      </c>
      <c r="G7" s="19">
        <f>'Configuration Tab'!$B$8/12</f>
        <v>5000</v>
      </c>
      <c r="H7" s="19">
        <f>'Configuration Tab'!$B$8/12</f>
        <v>5000</v>
      </c>
      <c r="I7" s="19">
        <f>'Configuration Tab'!$B$8/12</f>
        <v>5000</v>
      </c>
      <c r="J7" s="19">
        <f>'Configuration Tab'!$B$8/12</f>
        <v>5000</v>
      </c>
      <c r="K7" s="19">
        <f>'Configuration Tab'!$B$8/12</f>
        <v>5000</v>
      </c>
      <c r="L7" s="19">
        <f>'Configuration Tab'!$B$8/12</f>
        <v>5000</v>
      </c>
      <c r="M7" s="19">
        <f>'Configuration Tab'!$B$8/12</f>
        <v>5000</v>
      </c>
      <c r="N7" s="39">
        <f>SUM(B7:M7)</f>
        <v>60000</v>
      </c>
      <c r="O7" s="1"/>
    </row>
    <row r="8" spans="1:16" ht="15.75" x14ac:dyDescent="0.25">
      <c r="A8" s="24" t="s">
        <v>17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40"/>
      <c r="O8" s="1"/>
    </row>
    <row r="9" spans="1:16" ht="15.75" x14ac:dyDescent="0.25">
      <c r="A9" s="24" t="s">
        <v>18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40"/>
      <c r="O9" s="1" t="s">
        <v>36</v>
      </c>
    </row>
    <row r="10" spans="1:16" ht="15.75" x14ac:dyDescent="0.25">
      <c r="A10" s="26" t="s">
        <v>19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40"/>
      <c r="O10" s="1"/>
    </row>
    <row r="11" spans="1:16" s="8" customFormat="1" ht="26.25" x14ac:dyDescent="0.4">
      <c r="A11" s="20" t="s">
        <v>39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43"/>
      <c r="O11" s="11" t="s">
        <v>42</v>
      </c>
    </row>
    <row r="12" spans="1:16" x14ac:dyDescent="0.25">
      <c r="A12" s="10" t="s">
        <v>38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9"/>
      <c r="O12" s="12"/>
    </row>
    <row r="13" spans="1:16" x14ac:dyDescent="0.25">
      <c r="A13" s="10" t="s">
        <v>15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30"/>
      <c r="O13" s="1"/>
    </row>
    <row r="14" spans="1:16" x14ac:dyDescent="0.25">
      <c r="A14" s="10" t="s">
        <v>20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29"/>
      <c r="O14" s="11"/>
    </row>
    <row r="15" spans="1:16" ht="15.75" x14ac:dyDescent="0.25">
      <c r="A15" s="21" t="s">
        <v>15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30"/>
      <c r="O15" s="1"/>
    </row>
    <row r="16" spans="1:16" ht="15.75" x14ac:dyDescent="0.25">
      <c r="A16" s="17" t="s">
        <v>21</v>
      </c>
      <c r="N16" s="11"/>
      <c r="O16" s="11"/>
    </row>
    <row r="17" spans="1:15" ht="24" customHeight="1" x14ac:dyDescent="0.35">
      <c r="A17" s="28" t="s">
        <v>41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9"/>
      <c r="O17" s="11" t="s">
        <v>43</v>
      </c>
    </row>
    <row r="18" spans="1:15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1"/>
      <c r="O18" s="1"/>
    </row>
    <row r="19" spans="1:15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5">
      <c r="A20" s="4"/>
      <c r="B20" s="3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5" x14ac:dyDescent="0.25">
      <c r="E21" s="6"/>
      <c r="F21" s="6"/>
      <c r="G21" s="6"/>
      <c r="H21" s="6"/>
      <c r="I21" s="6"/>
      <c r="J21" s="6"/>
      <c r="K21" s="6"/>
      <c r="L21" s="6"/>
      <c r="M21" s="6"/>
      <c r="N21" s="6"/>
    </row>
  </sheetData>
  <mergeCells count="1">
    <mergeCell ref="A1:B1"/>
  </mergeCells>
  <conditionalFormatting sqref="B3:M3">
    <cfRule type="cellIs" dxfId="10" priority="5" operator="greaterThan">
      <formula>250</formula>
    </cfRule>
  </conditionalFormatting>
  <conditionalFormatting sqref="B5:M5 B8:M10">
    <cfRule type="cellIs" dxfId="9" priority="6" operator="greaterThan">
      <formula>1200</formula>
    </cfRule>
    <cfRule type="cellIs" dxfId="8" priority="7" operator="greaterThan">
      <formula>1200</formula>
    </cfRule>
    <cfRule type="cellIs" dxfId="7" priority="8" operator="greaterThan">
      <formula>1000</formula>
    </cfRule>
  </conditionalFormatting>
  <conditionalFormatting sqref="B4:M4">
    <cfRule type="cellIs" dxfId="6" priority="4" operator="greaterThan">
      <formula>250</formula>
    </cfRule>
  </conditionalFormatting>
  <conditionalFormatting sqref="B7:M7">
    <cfRule type="cellIs" dxfId="2" priority="1" operator="greaterThan">
      <formula>1200</formula>
    </cfRule>
    <cfRule type="cellIs" dxfId="1" priority="2" operator="greaterThan">
      <formula>1200</formula>
    </cfRule>
    <cfRule type="cellIs" dxfId="0" priority="3" operator="greaterThan">
      <formula>1000</formula>
    </cfRule>
  </conditionalFormatting>
  <pageMargins left="0.7" right="0.7" top="0.75" bottom="0.75" header="0.51180555555555496" footer="0.51180555555555496"/>
  <pageSetup firstPageNumber="0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A8F1A-16D1-40E7-A761-F8BD5D0B9A5B}">
  <sheetPr codeName="Sheet4"/>
  <dimension ref="A1:C13"/>
  <sheetViews>
    <sheetView workbookViewId="0">
      <selection activeCell="B2" sqref="B2"/>
    </sheetView>
  </sheetViews>
  <sheetFormatPr defaultRowHeight="15" x14ac:dyDescent="0.25"/>
  <cols>
    <col min="1" max="1" width="32" customWidth="1"/>
    <col min="2" max="2" width="10.7109375" customWidth="1"/>
  </cols>
  <sheetData>
    <row r="1" spans="1:3" x14ac:dyDescent="0.25">
      <c r="B1" t="s">
        <v>28</v>
      </c>
    </row>
    <row r="2" spans="1:3" x14ac:dyDescent="0.25">
      <c r="A2" t="s">
        <v>22</v>
      </c>
      <c r="B2">
        <v>80000</v>
      </c>
    </row>
    <row r="3" spans="1:3" x14ac:dyDescent="0.25">
      <c r="A3" t="s">
        <v>23</v>
      </c>
      <c r="B3">
        <v>50</v>
      </c>
      <c r="C3">
        <v>50</v>
      </c>
    </row>
    <row r="4" spans="1:3" x14ac:dyDescent="0.25">
      <c r="A4" t="s">
        <v>24</v>
      </c>
      <c r="B4">
        <v>0</v>
      </c>
    </row>
    <row r="5" spans="1:3" x14ac:dyDescent="0.25">
      <c r="A5" t="s">
        <v>25</v>
      </c>
      <c r="B5">
        <v>0</v>
      </c>
    </row>
    <row r="6" spans="1:3" x14ac:dyDescent="0.25">
      <c r="A6" t="s">
        <v>26</v>
      </c>
      <c r="B6">
        <v>25</v>
      </c>
    </row>
    <row r="7" spans="1:3" x14ac:dyDescent="0.25">
      <c r="A7" t="s">
        <v>27</v>
      </c>
      <c r="B7" s="31">
        <v>2500</v>
      </c>
    </row>
    <row r="8" spans="1:3" x14ac:dyDescent="0.25">
      <c r="A8" t="s">
        <v>37</v>
      </c>
      <c r="B8" s="31">
        <v>60000</v>
      </c>
    </row>
    <row r="9" spans="1:3" x14ac:dyDescent="0.25">
      <c r="A9" t="s">
        <v>30</v>
      </c>
    </row>
    <row r="10" spans="1:3" x14ac:dyDescent="0.25">
      <c r="A10" t="s">
        <v>31</v>
      </c>
    </row>
    <row r="11" spans="1:3" x14ac:dyDescent="0.25">
      <c r="A11" t="s">
        <v>32</v>
      </c>
    </row>
    <row r="12" spans="1:3" x14ac:dyDescent="0.25">
      <c r="A12" t="s">
        <v>33</v>
      </c>
    </row>
    <row r="13" spans="1:3" x14ac:dyDescent="0.25">
      <c r="A13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CEBD2-97AC-4DD9-8C0C-5CC6A3060B96}">
  <sheetPr codeName="Sheet5"/>
  <dimension ref="A1"/>
  <sheetViews>
    <sheetView workbookViewId="0">
      <selection activeCell="F30" sqref="F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A98-79AB-4F8A-8A82-77EE38DD486F}">
  <sheetPr codeName="Sheet6"/>
  <dimension ref="A1:A2"/>
  <sheetViews>
    <sheetView tabSelected="1" workbookViewId="0">
      <selection activeCell="E18" sqref="E18"/>
    </sheetView>
  </sheetViews>
  <sheetFormatPr defaultRowHeight="15" x14ac:dyDescent="0.25"/>
  <sheetData>
    <row r="1" spans="1:1" x14ac:dyDescent="0.25">
      <c r="A1" t="s">
        <v>45</v>
      </c>
    </row>
    <row r="2" spans="1:1" x14ac:dyDescent="0.25">
      <c r="A2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2019 Budget</vt:lpstr>
      <vt:lpstr>GoalBudget</vt:lpstr>
      <vt:lpstr>Configuration Tab</vt:lpstr>
      <vt:lpstr>Users Manual</vt:lpstr>
      <vt:lpstr>Todo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Raphael Sandor</dc:creator>
  <dc:description/>
  <cp:lastModifiedBy>Raphael Sandor</cp:lastModifiedBy>
  <cp:revision>2</cp:revision>
  <dcterms:created xsi:type="dcterms:W3CDTF">2018-12-08T23:40:18Z</dcterms:created>
  <dcterms:modified xsi:type="dcterms:W3CDTF">2019-08-10T14:48:10Z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