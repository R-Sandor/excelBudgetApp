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"/>
    </mc:Choice>
  </mc:AlternateContent>
  <xr:revisionPtr revIDLastSave="0" documentId="8_{AEAB2610-135E-4CD4-B06C-857AAF138BE3}" xr6:coauthVersionLast="43" xr6:coauthVersionMax="43" xr10:uidLastSave="{00000000-0000-0000-0000-000000000000}"/>
  <bookViews>
    <workbookView xWindow="-28920" yWindow="-120" windowWidth="29040" windowHeight="15840" tabRatio="500" xr2:uid="{00000000-000D-0000-FFFF-FFFF00000000}"/>
  </bookViews>
  <sheets>
    <sheet name="Welcome Screen" sheetId="3" r:id="rId1"/>
    <sheet name="2019 Budget" sheetId="1" r:id="rId2"/>
    <sheet name="GoalBudget" sheetId="2" r:id="rId3"/>
    <sheet name="Configuration Tab" sheetId="4" r:id="rId4"/>
    <sheet name="Users Manual" sheetId="7" r:id="rId5"/>
    <sheet name="Sheet4" sheetId="6" r:id="rId6"/>
  </sheets>
  <calcPr calcId="191029" iterateDelta="1E-4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29" i="2" l="1"/>
  <c r="K33" i="2" s="1"/>
  <c r="E29" i="2"/>
  <c r="E33" i="2" s="1"/>
  <c r="C29" i="2"/>
  <c r="C33" i="2" s="1"/>
  <c r="N28" i="2"/>
  <c r="N27" i="2"/>
  <c r="N26" i="2"/>
  <c r="N25" i="2"/>
  <c r="M24" i="2"/>
  <c r="M29" i="2" s="1"/>
  <c r="M33" i="2" s="1"/>
  <c r="L24" i="2"/>
  <c r="L29" i="2" s="1"/>
  <c r="L33" i="2" s="1"/>
  <c r="K24" i="2"/>
  <c r="J24" i="2"/>
  <c r="J29" i="2" s="1"/>
  <c r="J33" i="2" s="1"/>
  <c r="I24" i="2"/>
  <c r="I29" i="2" s="1"/>
  <c r="I33" i="2" s="1"/>
  <c r="H24" i="2"/>
  <c r="H29" i="2" s="1"/>
  <c r="H33" i="2" s="1"/>
  <c r="G24" i="2"/>
  <c r="G29" i="2" s="1"/>
  <c r="G33" i="2" s="1"/>
  <c r="F24" i="2"/>
  <c r="F29" i="2" s="1"/>
  <c r="F33" i="2" s="1"/>
  <c r="E24" i="2"/>
  <c r="D24" i="2"/>
  <c r="D29" i="2" s="1"/>
  <c r="D33" i="2" s="1"/>
  <c r="C24" i="2"/>
  <c r="B24" i="2"/>
  <c r="B29" i="2" s="1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4" i="2" s="1"/>
  <c r="B33" i="2" l="1"/>
  <c r="N29" i="2"/>
  <c r="C24" i="1"/>
  <c r="D24" i="1"/>
  <c r="E24" i="1" l="1"/>
  <c r="N22" i="1" l="1"/>
  <c r="N28" i="1" l="1"/>
  <c r="N27" i="1"/>
  <c r="N26" i="1"/>
  <c r="E29" i="1"/>
  <c r="B24" i="1"/>
  <c r="B29" i="1" s="1"/>
  <c r="N23" i="1"/>
  <c r="N21" i="1"/>
  <c r="N20" i="1"/>
  <c r="N19" i="1"/>
  <c r="N18" i="1"/>
  <c r="N17" i="1"/>
  <c r="N16" i="1"/>
  <c r="N15" i="1"/>
  <c r="N14" i="1"/>
  <c r="N13" i="1"/>
  <c r="N12" i="1"/>
  <c r="M24" i="1"/>
  <c r="M29" i="1" s="1"/>
  <c r="J24" i="1"/>
  <c r="J29" i="1" s="1"/>
  <c r="I24" i="1"/>
  <c r="I29" i="1" s="1"/>
  <c r="N11" i="1"/>
  <c r="N10" i="1"/>
  <c r="N9" i="1"/>
  <c r="L24" i="1"/>
  <c r="K24" i="1"/>
  <c r="H24" i="1"/>
  <c r="G24" i="1"/>
  <c r="N8" i="1"/>
  <c r="N7" i="1"/>
  <c r="N6" i="1"/>
  <c r="N5" i="1"/>
  <c r="N4" i="1"/>
  <c r="N3" i="1"/>
  <c r="N25" i="1" l="1"/>
  <c r="N24" i="1"/>
  <c r="G29" i="1"/>
  <c r="K29" i="1"/>
  <c r="B33" i="1"/>
  <c r="H29" i="1"/>
  <c r="L29" i="1"/>
  <c r="F24" i="1"/>
  <c r="F29" i="1" s="1"/>
  <c r="C29" i="1"/>
  <c r="D29" i="1"/>
  <c r="N29" i="1" l="1"/>
  <c r="C33" i="1"/>
  <c r="D33" i="1" s="1"/>
  <c r="E33" i="1" s="1"/>
  <c r="F33" i="1" l="1"/>
  <c r="G33" i="1" s="1"/>
  <c r="H33" i="1" s="1"/>
  <c r="I33" i="1" s="1"/>
  <c r="J33" i="1" s="1"/>
  <c r="K33" i="1" s="1"/>
  <c r="L33" i="1" s="1"/>
  <c r="M3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4" authorId="0" shapeId="0" xr:uid="{00000000-0006-0000-0000-000001000000}">
      <text>
        <r>
          <rPr>
            <b/>
            <sz val="9"/>
            <color rgb="FF000000"/>
            <rFont val="Tahoma"/>
            <family val="2"/>
            <charset val="1"/>
          </rPr>
          <t xml:space="preserve">Raphael Sandor:
</t>
        </r>
        <r>
          <rPr>
            <sz val="9"/>
            <color rgb="FF000000"/>
            <rFont val="Tahoma"/>
            <family val="2"/>
            <charset val="1"/>
          </rPr>
          <t xml:space="preserve">Without Cheyennes contributioon subtracted against expenses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24" authorId="0" shapeId="0" xr:uid="{064A5E98-7CAE-49E9-9FCA-C26343398B08}">
      <text>
        <r>
          <rPr>
            <b/>
            <sz val="9"/>
            <color rgb="FF000000"/>
            <rFont val="Tahoma"/>
            <family val="2"/>
            <charset val="1"/>
          </rPr>
          <t xml:space="preserve">Raphael Sandor:
</t>
        </r>
        <r>
          <rPr>
            <sz val="9"/>
            <color rgb="FF000000"/>
            <rFont val="Tahoma"/>
            <family val="2"/>
            <charset val="1"/>
          </rPr>
          <t xml:space="preserve">Without Cheyennes contributioon subtracted against expenses
</t>
        </r>
      </text>
    </comment>
  </commentList>
</comments>
</file>

<file path=xl/sharedStrings.xml><?xml version="1.0" encoding="utf-8"?>
<sst xmlns="http://schemas.openxmlformats.org/spreadsheetml/2006/main" count="92" uniqueCount="45">
  <si>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</si>
  <si>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</si>
  <si>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</si>
  <si>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</si>
  <si>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</si>
  <si>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</si>
  <si>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</si>
  <si>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</si>
  <si>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</si>
  <si>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</si>
  <si>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</si>
  <si>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</si>
  <si>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</si>
  <si>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</si>
  <si>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</si>
  <si>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 xml:space="preserve">Rent </t>
  </si>
  <si>
    <t>Cable &amp; Internet</t>
  </si>
  <si>
    <t>Water</t>
  </si>
  <si>
    <t>Electricity</t>
  </si>
  <si>
    <t>Personal care</t>
  </si>
  <si>
    <t>Taxes</t>
  </si>
  <si>
    <t xml:space="preserve">Car maintenance </t>
  </si>
  <si>
    <t>Groceries</t>
  </si>
  <si>
    <t>Insurance</t>
  </si>
  <si>
    <t>Vehicle Gas</t>
  </si>
  <si>
    <t>Phone Bill</t>
  </si>
  <si>
    <t>Pet Care</t>
  </si>
  <si>
    <t>Housing Gas</t>
  </si>
  <si>
    <t>Entertainment</t>
  </si>
  <si>
    <t>Shopping</t>
  </si>
  <si>
    <t>Savings</t>
  </si>
  <si>
    <t>Education</t>
  </si>
  <si>
    <t>Alcohol</t>
  </si>
  <si>
    <t>Fast Food/Dinning</t>
  </si>
  <si>
    <t xml:space="preserve">Student Loan </t>
  </si>
  <si>
    <t>Misc</t>
  </si>
  <si>
    <t>Total Expense</t>
  </si>
  <si>
    <t xml:space="preserve">Gross Income </t>
  </si>
  <si>
    <t>First Paycheck</t>
  </si>
  <si>
    <t>Second Paychek</t>
  </si>
  <si>
    <t>Other income</t>
  </si>
  <si>
    <t>Net Income</t>
  </si>
  <si>
    <t xml:space="preserve">Cash </t>
  </si>
  <si>
    <t>Remaining Funds at End of Month</t>
  </si>
  <si>
    <t>Checking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</si>
</sst>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12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</fills>
  <borders count="2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</borders>
  <cellStyleXfs count="2">
    <xf numFmtId="0" fontId="0" fillId="0" borderId="0"/>
    <xf numFmtId="164" fontId="11" fillId="0" borderId="0" applyBorder="0" applyProtection="0"/>
  </cellStyleXfs>
  <cellXfs count="40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left" indent="7"/>
    </xf>
    <xf numFmtId="0" fontId="3" fillId="0" borderId="2" xfId="0" applyFont="1" applyBorder="1"/>
    <xf numFmtId="164" fontId="0" fillId="0" borderId="3" xfId="1" applyFont="1" applyBorder="1"/>
    <xf numFmtId="164" fontId="0" fillId="0" borderId="2" xfId="1" applyFont="1" applyBorder="1"/>
    <xf numFmtId="164" fontId="0" fillId="0" borderId="4" xfId="0" applyNumberFormat="1" applyBorder="1"/>
    <xf numFmtId="0" fontId="3" fillId="0" borderId="5" xfId="0" applyFont="1" applyBorder="1"/>
    <xf numFmtId="164" fontId="0" fillId="0" borderId="0" xfId="1" applyFont="1"/>
    <xf numFmtId="164" fontId="0" fillId="0" borderId="6" xfId="0" applyNumberFormat="1" applyBorder="1"/>
    <xf numFmtId="0" fontId="3" fillId="0" borderId="5" xfId="1" applyNumberFormat="1" applyFont="1" applyBorder="1"/>
    <xf numFmtId="164" fontId="0" fillId="0" borderId="6" xfId="1" applyFont="1" applyBorder="1"/>
    <xf numFmtId="164" fontId="0" fillId="2" borderId="0" xfId="1" applyFont="1" applyFill="1"/>
    <xf numFmtId="0" fontId="3" fillId="0" borderId="7" xfId="0" applyFont="1" applyBorder="1"/>
    <xf numFmtId="164" fontId="0" fillId="0" borderId="8" xfId="1" applyFont="1" applyBorder="1"/>
    <xf numFmtId="164" fontId="0" fillId="0" borderId="9" xfId="1" applyFont="1" applyBorder="1"/>
    <xf numFmtId="164" fontId="0" fillId="0" borderId="1" xfId="1" applyFont="1" applyBorder="1"/>
    <xf numFmtId="164" fontId="0" fillId="0" borderId="11" xfId="0" applyNumberFormat="1" applyBorder="1"/>
    <xf numFmtId="164" fontId="0" fillId="0" borderId="13" xfId="1" applyFont="1" applyBorder="1"/>
    <xf numFmtId="164" fontId="0" fillId="0" borderId="14" xfId="0" applyNumberFormat="1" applyBorder="1"/>
    <xf numFmtId="0" fontId="6" fillId="0" borderId="15" xfId="0" applyFont="1" applyBorder="1" applyAlignment="1">
      <alignment horizontal="left"/>
    </xf>
    <xf numFmtId="164" fontId="0" fillId="0" borderId="16" xfId="1" applyFont="1" applyBorder="1"/>
    <xf numFmtId="164" fontId="0" fillId="0" borderId="16" xfId="0" applyNumberFormat="1" applyBorder="1"/>
    <xf numFmtId="0" fontId="6" fillId="0" borderId="7" xfId="0" applyFont="1" applyBorder="1" applyAlignment="1">
      <alignment horizontal="left"/>
    </xf>
    <xf numFmtId="164" fontId="0" fillId="0" borderId="18" xfId="0" applyNumberFormat="1" applyBorder="1"/>
    <xf numFmtId="0" fontId="0" fillId="0" borderId="5" xfId="0" applyBorder="1"/>
    <xf numFmtId="164" fontId="0" fillId="0" borderId="0" xfId="0" applyNumberFormat="1"/>
    <xf numFmtId="0" fontId="0" fillId="0" borderId="7" xfId="0" applyBorder="1"/>
    <xf numFmtId="0" fontId="0" fillId="2" borderId="19" xfId="0" applyFill="1" applyBorder="1"/>
    <xf numFmtId="164" fontId="0" fillId="0" borderId="8" xfId="0" applyNumberFormat="1" applyBorder="1"/>
    <xf numFmtId="0" fontId="8" fillId="0" borderId="0" xfId="0" applyFont="1"/>
    <xf numFmtId="165" fontId="0" fillId="0" borderId="0" xfId="0" applyNumberFormat="1"/>
    <xf numFmtId="0" fontId="7" fillId="0" borderId="17" xfId="0" applyFont="1" applyBorder="1"/>
    <xf numFmtId="0" fontId="4" fillId="0" borderId="10" xfId="0" applyFont="1" applyBorder="1"/>
    <xf numFmtId="0" fontId="5" fillId="0" borderId="12" xfId="0" applyFont="1" applyBorder="1"/>
    <xf numFmtId="0" fontId="6" fillId="0" borderId="7" xfId="0" applyFont="1" applyBorder="1"/>
    <xf numFmtId="43" fontId="0" fillId="0" borderId="0" xfId="0" applyNumberFormat="1"/>
    <xf numFmtId="164" fontId="0" fillId="0" borderId="0" xfId="1" applyFont="1" applyBorder="1"/>
    <xf numFmtId="0" fontId="1" fillId="2" borderId="0" xfId="0" applyFont="1" applyFill="1" applyAlignment="1">
      <alignment horizontal="center"/>
    </xf>
    <xf numFmtId="0" fontId="0" fillId="0" borderId="0" xfId="0" applyFill="1"/>
  </cellXfs>
  <cellStyles count="2">
    <cellStyle name="Currency" xfId="1" builtinId="4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6</xdr:row>
          <xdr:rowOff>0</xdr:rowOff>
        </xdr:from>
        <xdr:to>
          <xdr:col>5</xdr:col>
          <xdr:colOff>9525</xdr:colOff>
          <xdr:row>9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B5F472C-9196-4B8C-BC33-721256AF5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99F749BA-6EB1-4819-9EE6-F4EC9AF886CC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94846B92-CEBD-4235-8AC1-62D85518C271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FC94761C-C33E-4803-A0D8-EEE774A8DB4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dor, Raphael J." id="{83F8FFF6-D8FA-4A64-BFA4-29A216163941}" userId="Sandor, Raphael J.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96498-5B42-40BF-8EED-434B7566BAFD}">
  <sheetPr codeName="Sheet1"/>
  <dimension ref="A1"/>
  <sheetViews>
    <sheetView tabSelected="1" workbookViewId="0">
      <selection activeCell="E4" sqref="E4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gure_Button">
                <anchor moveWithCells="1" sizeWithCells="1">
                  <from>
                    <xdr:col>3</xdr:col>
                    <xdr:colOff>123825</xdr:colOff>
                    <xdr:row>6</xdr:row>
                    <xdr:rowOff>0</xdr:rowOff>
                  </from>
                  <to>
                    <xdr:col>5</xdr:col>
                    <xdr:colOff>9525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6"/>
  <sheetViews>
    <sheetView zoomScale="90" zoomScaleNormal="90" workbookViewId="0">
      <selection activeCell="E15" sqref="E15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38" t="s">
        <v>0</v>
      </c>
      <c r="B1" s="38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9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9">
        <f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>
        <f>SUM(D5:M5)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>
        <f>SUM(D6:M6)</f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>
        <f>SUM(C7:M7)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>
        <f>SUM(D8:M8)</f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>
        <f>SUM(C9:M9)</f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>
        <f>SUM(C10:M10)</f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>
        <f>SUM(B11:M11)</f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>
        <f>SUM(B12:M12)</f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>
        <f>SUM(C13:M13)</f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>
        <f>SUM(C14:M14)</f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>
        <f>SUM(B15:M15)</f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>
        <f>SUM(C16:M16)</f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>
        <f>SUM(B17:M17)</f>
        <v>0</v>
      </c>
      <c r="O17" s="1"/>
    </row>
    <row r="18" spans="1:15" ht="15.75" x14ac:dyDescent="0.25">
      <c r="A18" s="7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>
        <f>SUM(B18:M18)</f>
        <v>0</v>
      </c>
      <c r="O18" s="1"/>
    </row>
    <row r="19" spans="1:15" ht="15.75" x14ac:dyDescent="0.25">
      <c r="A19" s="7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>
        <f>SUM(B19:M19)</f>
        <v>0</v>
      </c>
      <c r="O19" s="1"/>
    </row>
    <row r="20" spans="1:15" ht="15.75" x14ac:dyDescent="0.25">
      <c r="A20" s="7" t="s">
        <v>32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>
        <f>SUM(B20:M20)</f>
        <v>0</v>
      </c>
      <c r="O20" s="1"/>
    </row>
    <row r="21" spans="1:15" ht="16.5" customHeight="1" x14ac:dyDescent="0.25">
      <c r="A21" s="7" t="s">
        <v>33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9">
        <f>SUM(B21:M21)</f>
        <v>0</v>
      </c>
      <c r="O21" s="1"/>
    </row>
    <row r="22" spans="1:15" s="8" customFormat="1" ht="15.75" x14ac:dyDescent="0.25">
      <c r="A22" s="10" t="s">
        <v>34</v>
      </c>
      <c r="C22"/>
      <c r="D22"/>
      <c r="E22"/>
      <c r="F22"/>
      <c r="G22"/>
      <c r="H22"/>
      <c r="I22"/>
      <c r="J22"/>
      <c r="K22"/>
      <c r="L22"/>
      <c r="M22"/>
      <c r="N22" s="11">
        <f>SUM(C22:M22)</f>
        <v>0</v>
      </c>
      <c r="O22" s="12"/>
    </row>
    <row r="23" spans="1:15" ht="15.75" x14ac:dyDescent="0.25">
      <c r="A23" s="13" t="s">
        <v>35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5">
        <f>SUM(D23:M23)</f>
        <v>0</v>
      </c>
      <c r="O23" s="1"/>
    </row>
    <row r="24" spans="1:15" ht="26.25" x14ac:dyDescent="0.4">
      <c r="A24" s="33" t="s">
        <v>36</v>
      </c>
      <c r="B24" s="16">
        <f t="shared" ref="B24:M24" si="0">SUM(B3:B23)</f>
        <v>0</v>
      </c>
      <c r="C24" s="16">
        <f t="shared" si="0"/>
        <v>0</v>
      </c>
      <c r="D24" s="16">
        <f>SUM(D3:D23)</f>
        <v>0</v>
      </c>
      <c r="E24" s="16">
        <f t="shared" si="0"/>
        <v>0</v>
      </c>
      <c r="F24" s="16">
        <f t="shared" si="0"/>
        <v>0</v>
      </c>
      <c r="G24" s="16">
        <f t="shared" si="0"/>
        <v>0</v>
      </c>
      <c r="H24" s="16">
        <f t="shared" si="0"/>
        <v>0</v>
      </c>
      <c r="I24" s="16">
        <f t="shared" si="0"/>
        <v>0</v>
      </c>
      <c r="J24" s="16">
        <f t="shared" si="0"/>
        <v>0</v>
      </c>
      <c r="K24" s="16">
        <f t="shared" si="0"/>
        <v>0</v>
      </c>
      <c r="L24" s="16">
        <f t="shared" si="0"/>
        <v>0</v>
      </c>
      <c r="M24" s="16">
        <f t="shared" si="0"/>
        <v>0</v>
      </c>
      <c r="N24" s="17">
        <f>SUM(N3:N23)</f>
        <v>0</v>
      </c>
      <c r="O24" s="1"/>
    </row>
    <row r="25" spans="1:15" ht="26.25" x14ac:dyDescent="0.4">
      <c r="A25" s="34" t="s">
        <v>37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9">
        <f>SUM(B25:M25)</f>
        <v>0</v>
      </c>
      <c r="O25" s="1"/>
    </row>
    <row r="26" spans="1:15" ht="15.75" x14ac:dyDescent="0.25">
      <c r="A26" s="20" t="s">
        <v>38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2">
        <f>SUM(B26:M26)</f>
        <v>0</v>
      </c>
      <c r="O26" s="1"/>
    </row>
    <row r="27" spans="1:15" ht="15.75" x14ac:dyDescent="0.25">
      <c r="A27" s="23" t="s">
        <v>39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>
        <f>SUM(B27:M27)</f>
        <v>0</v>
      </c>
      <c r="O27" s="1"/>
    </row>
    <row r="28" spans="1:15" ht="15.75" x14ac:dyDescent="0.25">
      <c r="A28" s="23" t="s">
        <v>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22">
        <f>SUM(B28:M28)</f>
        <v>0</v>
      </c>
      <c r="O28" s="1"/>
    </row>
    <row r="29" spans="1:15" ht="26.25" x14ac:dyDescent="0.4">
      <c r="A29" s="32" t="s">
        <v>41</v>
      </c>
      <c r="B29" s="24">
        <f>B25-B24</f>
        <v>0</v>
      </c>
      <c r="C29" s="24">
        <f t="shared" ref="C29:M29" si="1">C25-C24+C28</f>
        <v>0</v>
      </c>
      <c r="D29" s="24">
        <f t="shared" si="1"/>
        <v>0</v>
      </c>
      <c r="E29" s="24">
        <f t="shared" si="1"/>
        <v>0</v>
      </c>
      <c r="F29" s="24">
        <f t="shared" si="1"/>
        <v>0</v>
      </c>
      <c r="G29" s="24">
        <f t="shared" si="1"/>
        <v>0</v>
      </c>
      <c r="H29" s="24">
        <f t="shared" si="1"/>
        <v>0</v>
      </c>
      <c r="I29" s="24">
        <f t="shared" si="1"/>
        <v>0</v>
      </c>
      <c r="J29" s="24">
        <f t="shared" si="1"/>
        <v>0</v>
      </c>
      <c r="K29" s="24">
        <f t="shared" si="1"/>
        <v>0</v>
      </c>
      <c r="L29" s="24">
        <f t="shared" si="1"/>
        <v>0</v>
      </c>
      <c r="M29" s="24">
        <f t="shared" si="1"/>
        <v>0</v>
      </c>
      <c r="N29" s="24">
        <f>SUM(B29:M29)</f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x14ac:dyDescent="0.25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5.75" x14ac:dyDescent="0.25">
      <c r="A33" s="35" t="s">
        <v>43</v>
      </c>
      <c r="B33" s="29">
        <f>B30+B31+B32+B29</f>
        <v>0</v>
      </c>
      <c r="C33" s="29">
        <f>C29+C30+C31+C32</f>
        <v>0</v>
      </c>
      <c r="D33" s="29">
        <f>D30+D32+D29</f>
        <v>0</v>
      </c>
      <c r="E33" s="29">
        <f>E30+E32+E29</f>
        <v>0</v>
      </c>
      <c r="F33" s="29">
        <f t="shared" ref="F33:M33" si="2">F30+F31+F32+F29</f>
        <v>0</v>
      </c>
      <c r="G33" s="29">
        <f t="shared" si="2"/>
        <v>0</v>
      </c>
      <c r="H33" s="29">
        <f t="shared" si="2"/>
        <v>0</v>
      </c>
      <c r="I33" s="29">
        <f t="shared" si="2"/>
        <v>0</v>
      </c>
      <c r="J33" s="29">
        <f t="shared" si="2"/>
        <v>0</v>
      </c>
      <c r="K33" s="29">
        <f t="shared" si="2"/>
        <v>0</v>
      </c>
      <c r="L33" s="29">
        <f t="shared" si="2"/>
        <v>0</v>
      </c>
      <c r="M33" s="29">
        <f t="shared" si="2"/>
        <v>0</v>
      </c>
      <c r="N33" s="1"/>
      <c r="O33" s="1"/>
    </row>
    <row r="34" spans="1:1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31" priority="2" operator="greaterThan">
      <formula>70</formula>
    </cfRule>
  </conditionalFormatting>
  <conditionalFormatting sqref="C7">
    <cfRule type="cellIs" dxfId="30" priority="3" operator="greaterThan">
      <formula>20</formula>
    </cfRule>
  </conditionalFormatting>
  <conditionalFormatting sqref="C9">
    <cfRule type="cellIs" dxfId="29" priority="4" operator="greaterThan">
      <formula>300</formula>
    </cfRule>
  </conditionalFormatting>
  <conditionalFormatting sqref="C10">
    <cfRule type="cellIs" dxfId="28" priority="5" operator="greaterThan">
      <formula>400</formula>
    </cfRule>
  </conditionalFormatting>
  <conditionalFormatting sqref="C10:M10">
    <cfRule type="cellIs" dxfId="27" priority="6" operator="greaterThan">
      <formula>400</formula>
    </cfRule>
  </conditionalFormatting>
  <conditionalFormatting sqref="C9:M9">
    <cfRule type="cellIs" dxfId="26" priority="7" operator="greaterThan">
      <formula>300</formula>
    </cfRule>
  </conditionalFormatting>
  <conditionalFormatting sqref="C7:M7">
    <cfRule type="cellIs" dxfId="25" priority="8" operator="greaterThan">
      <formula>20</formula>
    </cfRule>
  </conditionalFormatting>
  <conditionalFormatting sqref="C6:M6">
    <cfRule type="cellIs" dxfId="24" priority="9" operator="greaterThan">
      <formula>50</formula>
    </cfRule>
  </conditionalFormatting>
  <conditionalFormatting sqref="C12:M12">
    <cfRule type="cellIs" dxfId="23" priority="10" operator="greaterThan">
      <formula>60</formula>
    </cfRule>
  </conditionalFormatting>
  <conditionalFormatting sqref="C19:M19">
    <cfRule type="cellIs" dxfId="22" priority="11" operator="greaterThan">
      <formula>100</formula>
    </cfRule>
  </conditionalFormatting>
  <conditionalFormatting sqref="C20:M20">
    <cfRule type="cellIs" dxfId="21" priority="12" operator="greaterThan">
      <formula>30</formula>
    </cfRule>
  </conditionalFormatting>
  <conditionalFormatting sqref="C21:M21">
    <cfRule type="cellIs" dxfId="20" priority="13" operator="greaterThan">
      <formula>50</formula>
    </cfRule>
  </conditionalFormatting>
  <conditionalFormatting sqref="B23:M23">
    <cfRule type="cellIs" dxfId="19" priority="15" operator="greaterThan">
      <formula>250</formula>
    </cfRule>
  </conditionalFormatting>
  <conditionalFormatting sqref="B29:M29">
    <cfRule type="cellIs" dxfId="18" priority="16" operator="greaterThan">
      <formula>1200</formula>
    </cfRule>
    <cfRule type="cellIs" dxfId="17" priority="17" operator="greaterThan">
      <formula>1200</formula>
    </cfRule>
    <cfRule type="cellIs" dxfId="16" priority="18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6"/>
  <sheetViews>
    <sheetView zoomScale="90" zoomScaleNormal="90" workbookViewId="0">
      <selection activeCell="P1" sqref="P1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38" t="s">
        <v>0</v>
      </c>
      <c r="B1" s="38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39"/>
    </row>
    <row r="2" spans="1:16" ht="26.25" x14ac:dyDescent="0.4">
      <c r="A2" s="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s="1"/>
    </row>
    <row r="3" spans="1:16" ht="15.75" x14ac:dyDescent="0.25">
      <c r="A3" s="3" t="s">
        <v>15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6">
        <f>SUM(B3:M3)</f>
        <v>0</v>
      </c>
      <c r="O3" s="1"/>
    </row>
    <row r="4" spans="1:16" ht="15.75" x14ac:dyDescent="0.25">
      <c r="A4" s="7" t="s">
        <v>16</v>
      </c>
      <c r="B4" s="8"/>
      <c r="C4" s="37"/>
      <c r="D4" s="8"/>
      <c r="E4" s="8"/>
      <c r="F4" s="37"/>
      <c r="G4" s="37"/>
      <c r="H4" s="37"/>
      <c r="I4" s="37"/>
      <c r="J4" s="8"/>
      <c r="K4" s="8"/>
      <c r="L4" s="8"/>
      <c r="M4" s="8"/>
      <c r="N4" s="9">
        <f>SUM(B4:M4)</f>
        <v>0</v>
      </c>
      <c r="O4" s="1"/>
    </row>
    <row r="5" spans="1:16" ht="15.75" x14ac:dyDescent="0.25">
      <c r="A5" s="7" t="s">
        <v>17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9">
        <f>SUM(D5:M5)</f>
        <v>0</v>
      </c>
      <c r="O5" s="1"/>
    </row>
    <row r="6" spans="1:16" ht="15.75" x14ac:dyDescent="0.25">
      <c r="A6" s="7" t="s">
        <v>18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9">
        <f>SUM(D6:M6)</f>
        <v>0</v>
      </c>
      <c r="O6" s="1"/>
    </row>
    <row r="7" spans="1:16" ht="15.75" x14ac:dyDescent="0.25">
      <c r="A7" s="7" t="s">
        <v>19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9">
        <f>SUM(C7:M7)</f>
        <v>0</v>
      </c>
      <c r="O7" s="1"/>
    </row>
    <row r="8" spans="1:16" ht="15.75" x14ac:dyDescent="0.25">
      <c r="A8" s="7" t="s">
        <v>20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9">
        <f>SUM(D8:M8)</f>
        <v>0</v>
      </c>
      <c r="O8" s="1"/>
    </row>
    <row r="9" spans="1:16" ht="15.75" x14ac:dyDescent="0.25">
      <c r="A9" s="7" t="s">
        <v>21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9">
        <f>SUM(C9:M9)</f>
        <v>0</v>
      </c>
      <c r="O9" s="1"/>
    </row>
    <row r="10" spans="1:16" ht="15.75" x14ac:dyDescent="0.25">
      <c r="A10" s="7" t="s">
        <v>22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9">
        <f>SUM(C10:M10)</f>
        <v>0</v>
      </c>
      <c r="O10" s="1"/>
    </row>
    <row r="11" spans="1:16" ht="15.75" x14ac:dyDescent="0.25">
      <c r="A11" s="7" t="s">
        <v>23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9">
        <f>SUM(B11:M11)</f>
        <v>0</v>
      </c>
      <c r="O11" s="1"/>
    </row>
    <row r="12" spans="1:16" ht="15.75" x14ac:dyDescent="0.25">
      <c r="A12" s="7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9">
        <f>SUM(B12:M12)</f>
        <v>0</v>
      </c>
      <c r="O12" s="1"/>
    </row>
    <row r="13" spans="1:16" ht="15.75" x14ac:dyDescent="0.25">
      <c r="A13" s="7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9">
        <f>SUM(C13:M13)</f>
        <v>0</v>
      </c>
      <c r="O13" s="1"/>
    </row>
    <row r="14" spans="1:16" ht="15.75" x14ac:dyDescent="0.25">
      <c r="A14" s="7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9">
        <f>SUM(C14:M14)</f>
        <v>0</v>
      </c>
      <c r="O14" s="1"/>
    </row>
    <row r="15" spans="1:16" ht="15.75" x14ac:dyDescent="0.25">
      <c r="A15" s="7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9">
        <f>SUM(B15:M15)</f>
        <v>0</v>
      </c>
      <c r="O15" s="1"/>
    </row>
    <row r="16" spans="1:16" ht="15.75" x14ac:dyDescent="0.25">
      <c r="A16" s="7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9">
        <f>SUM(C16:M16)</f>
        <v>0</v>
      </c>
      <c r="O16" s="1"/>
    </row>
    <row r="17" spans="1:15" ht="15.75" x14ac:dyDescent="0.25">
      <c r="A17" s="7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9">
        <f>SUM(B17:M17)</f>
        <v>0</v>
      </c>
      <c r="O17" s="1"/>
    </row>
    <row r="18" spans="1:15" ht="15.75" x14ac:dyDescent="0.25">
      <c r="A18" s="7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9">
        <f>SUM(B18:M18)</f>
        <v>0</v>
      </c>
      <c r="O18" s="1"/>
    </row>
    <row r="19" spans="1:15" ht="15.75" x14ac:dyDescent="0.25">
      <c r="A19" s="7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9">
        <f>SUM(B19:M19)</f>
        <v>0</v>
      </c>
      <c r="O19" s="1"/>
    </row>
    <row r="20" spans="1:15" ht="15.75" x14ac:dyDescent="0.25">
      <c r="A20" s="7" t="s">
        <v>32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9">
        <f>SUM(B20:M20)</f>
        <v>0</v>
      </c>
      <c r="O20" s="1"/>
    </row>
    <row r="21" spans="1:15" ht="16.5" customHeight="1" x14ac:dyDescent="0.25">
      <c r="A21" s="7" t="s">
        <v>33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9">
        <f>SUM(B21:M21)</f>
        <v>0</v>
      </c>
      <c r="O21" s="1"/>
    </row>
    <row r="22" spans="1:15" s="8" customFormat="1" ht="15.75" x14ac:dyDescent="0.25">
      <c r="A22" s="10" t="s">
        <v>34</v>
      </c>
      <c r="C22"/>
      <c r="D22"/>
      <c r="E22"/>
      <c r="F22"/>
      <c r="G22"/>
      <c r="H22"/>
      <c r="I22"/>
      <c r="J22"/>
      <c r="K22"/>
      <c r="L22"/>
      <c r="M22"/>
      <c r="N22" s="11">
        <f>SUM(C22:M22)</f>
        <v>0</v>
      </c>
      <c r="O22" s="12"/>
    </row>
    <row r="23" spans="1:15" ht="16.5" thickBot="1" x14ac:dyDescent="0.3">
      <c r="A23" s="13" t="s">
        <v>35</v>
      </c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5">
        <f>SUM(D23:M23)</f>
        <v>0</v>
      </c>
      <c r="O23" s="1"/>
    </row>
    <row r="24" spans="1:15" ht="27" thickTop="1" x14ac:dyDescent="0.4">
      <c r="A24" s="33" t="s">
        <v>36</v>
      </c>
      <c r="B24" s="16">
        <f t="shared" ref="B24:M24" si="0">SUM(B3:B23)</f>
        <v>0</v>
      </c>
      <c r="C24" s="16">
        <f t="shared" si="0"/>
        <v>0</v>
      </c>
      <c r="D24" s="16">
        <f>SUM(D3:D23)</f>
        <v>0</v>
      </c>
      <c r="E24" s="16">
        <f t="shared" si="0"/>
        <v>0</v>
      </c>
      <c r="F24" s="16">
        <f t="shared" si="0"/>
        <v>0</v>
      </c>
      <c r="G24" s="16">
        <f t="shared" si="0"/>
        <v>0</v>
      </c>
      <c r="H24" s="16">
        <f t="shared" si="0"/>
        <v>0</v>
      </c>
      <c r="I24" s="16">
        <f t="shared" si="0"/>
        <v>0</v>
      </c>
      <c r="J24" s="16">
        <f t="shared" si="0"/>
        <v>0</v>
      </c>
      <c r="K24" s="16">
        <f t="shared" si="0"/>
        <v>0</v>
      </c>
      <c r="L24" s="16">
        <f t="shared" si="0"/>
        <v>0</v>
      </c>
      <c r="M24" s="16">
        <f t="shared" si="0"/>
        <v>0</v>
      </c>
      <c r="N24" s="17">
        <f>SUM(N3:N23)</f>
        <v>0</v>
      </c>
      <c r="O24" s="1"/>
    </row>
    <row r="25" spans="1:15" ht="27" thickBot="1" x14ac:dyDescent="0.45">
      <c r="A25" s="34" t="s">
        <v>37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9">
        <f>SUM(B25:M25)</f>
        <v>0</v>
      </c>
      <c r="O25" s="1"/>
    </row>
    <row r="26" spans="1:15" ht="16.5" thickBot="1" x14ac:dyDescent="0.3">
      <c r="A26" s="20" t="s">
        <v>38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2">
        <f>SUM(B26:M26)</f>
        <v>0</v>
      </c>
      <c r="O26" s="1"/>
    </row>
    <row r="27" spans="1:15" ht="17.25" thickTop="1" thickBot="1" x14ac:dyDescent="0.3">
      <c r="A27" s="23" t="s">
        <v>39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>
        <f>SUM(B27:M27)</f>
        <v>0</v>
      </c>
      <c r="O27" s="1"/>
    </row>
    <row r="28" spans="1:15" ht="17.25" thickTop="1" thickBot="1" x14ac:dyDescent="0.3">
      <c r="A28" s="23" t="s">
        <v>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22">
        <f>SUM(B28:M28)</f>
        <v>0</v>
      </c>
      <c r="O28" s="1"/>
    </row>
    <row r="29" spans="1:15" ht="27.75" thickTop="1" thickBot="1" x14ac:dyDescent="0.45">
      <c r="A29" s="32" t="s">
        <v>41</v>
      </c>
      <c r="B29" s="24">
        <f>B25-B24</f>
        <v>0</v>
      </c>
      <c r="C29" s="24">
        <f t="shared" ref="C29:M29" si="1">C25-C24+C28</f>
        <v>0</v>
      </c>
      <c r="D29" s="24">
        <f t="shared" si="1"/>
        <v>0</v>
      </c>
      <c r="E29" s="24">
        <f t="shared" si="1"/>
        <v>0</v>
      </c>
      <c r="F29" s="24">
        <f t="shared" si="1"/>
        <v>0</v>
      </c>
      <c r="G29" s="24">
        <f t="shared" si="1"/>
        <v>0</v>
      </c>
      <c r="H29" s="24">
        <f t="shared" si="1"/>
        <v>0</v>
      </c>
      <c r="I29" s="24">
        <f t="shared" si="1"/>
        <v>0</v>
      </c>
      <c r="J29" s="24">
        <f t="shared" si="1"/>
        <v>0</v>
      </c>
      <c r="K29" s="24">
        <f t="shared" si="1"/>
        <v>0</v>
      </c>
      <c r="L29" s="24">
        <f t="shared" si="1"/>
        <v>0</v>
      </c>
      <c r="M29" s="24">
        <f t="shared" si="1"/>
        <v>0</v>
      </c>
      <c r="N29" s="24">
        <f>SUM(B29:M29)</f>
        <v>0</v>
      </c>
      <c r="O29" s="1"/>
    </row>
    <row r="30" spans="1:15" x14ac:dyDescent="0.25">
      <c r="A30" s="25" t="s">
        <v>44</v>
      </c>
      <c r="B30" s="8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1"/>
      <c r="O30" s="1"/>
    </row>
    <row r="31" spans="1:15" x14ac:dyDescent="0.25">
      <c r="A31" s="25" t="s">
        <v>30</v>
      </c>
      <c r="B31" s="8"/>
      <c r="C31" s="8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1"/>
      <c r="O31" s="1"/>
    </row>
    <row r="32" spans="1:15" ht="15.75" thickBot="1" x14ac:dyDescent="0.3">
      <c r="A32" s="27" t="s">
        <v>42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28"/>
      <c r="O32" s="1"/>
    </row>
    <row r="33" spans="1:15" ht="17.25" thickTop="1" thickBot="1" x14ac:dyDescent="0.3">
      <c r="A33" s="35" t="s">
        <v>43</v>
      </c>
      <c r="B33" s="29">
        <f>B30+B31+B32+B29</f>
        <v>0</v>
      </c>
      <c r="C33" s="29">
        <f>C29+C30+C31+C32</f>
        <v>0</v>
      </c>
      <c r="D33" s="29">
        <f>D30+D32+D29</f>
        <v>0</v>
      </c>
      <c r="E33" s="29">
        <f>E30+E32+E29</f>
        <v>0</v>
      </c>
      <c r="F33" s="29">
        <f t="shared" ref="F33:M33" si="2">F30+F31+F32+F29</f>
        <v>0</v>
      </c>
      <c r="G33" s="29">
        <f t="shared" si="2"/>
        <v>0</v>
      </c>
      <c r="H33" s="29">
        <f t="shared" si="2"/>
        <v>0</v>
      </c>
      <c r="I33" s="29">
        <f t="shared" si="2"/>
        <v>0</v>
      </c>
      <c r="J33" s="29">
        <f t="shared" si="2"/>
        <v>0</v>
      </c>
      <c r="K33" s="29">
        <f t="shared" si="2"/>
        <v>0</v>
      </c>
      <c r="L33" s="29">
        <f t="shared" si="2"/>
        <v>0</v>
      </c>
      <c r="M33" s="29">
        <f t="shared" si="2"/>
        <v>0</v>
      </c>
      <c r="N33" s="1"/>
      <c r="O33" s="1"/>
    </row>
    <row r="34" spans="1:15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30"/>
      <c r="B35" s="26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  <row r="36" spans="1:15" x14ac:dyDescent="0.25">
      <c r="E36" s="36"/>
      <c r="F36" s="36"/>
      <c r="G36" s="36"/>
      <c r="H36" s="36"/>
      <c r="I36" s="36"/>
      <c r="J36" s="36"/>
      <c r="K36" s="36"/>
      <c r="L36" s="36"/>
      <c r="M36" s="36"/>
      <c r="N36" s="36"/>
    </row>
  </sheetData>
  <mergeCells count="1">
    <mergeCell ref="A1:B1"/>
  </mergeCells>
  <conditionalFormatting sqref="C6">
    <cfRule type="cellIs" dxfId="15" priority="1" operator="greaterThan">
      <formula>70</formula>
    </cfRule>
  </conditionalFormatting>
  <conditionalFormatting sqref="C7">
    <cfRule type="cellIs" dxfId="14" priority="2" operator="greaterThan">
      <formula>20</formula>
    </cfRule>
  </conditionalFormatting>
  <conditionalFormatting sqref="C9">
    <cfRule type="cellIs" dxfId="13" priority="3" operator="greaterThan">
      <formula>300</formula>
    </cfRule>
  </conditionalFormatting>
  <conditionalFormatting sqref="C10">
    <cfRule type="cellIs" dxfId="12" priority="4" operator="greaterThan">
      <formula>400</formula>
    </cfRule>
  </conditionalFormatting>
  <conditionalFormatting sqref="C10:M10">
    <cfRule type="cellIs" dxfId="11" priority="5" operator="greaterThan">
      <formula>400</formula>
    </cfRule>
  </conditionalFormatting>
  <conditionalFormatting sqref="C9:M9">
    <cfRule type="cellIs" dxfId="10" priority="6" operator="greaterThan">
      <formula>300</formula>
    </cfRule>
  </conditionalFormatting>
  <conditionalFormatting sqref="C7:M7">
    <cfRule type="cellIs" dxfId="9" priority="7" operator="greaterThan">
      <formula>20</formula>
    </cfRule>
  </conditionalFormatting>
  <conditionalFormatting sqref="C6:M6">
    <cfRule type="cellIs" dxfId="8" priority="8" operator="greaterThan">
      <formula>50</formula>
    </cfRule>
  </conditionalFormatting>
  <conditionalFormatting sqref="C12:M12">
    <cfRule type="cellIs" dxfId="7" priority="9" operator="greaterThan">
      <formula>60</formula>
    </cfRule>
  </conditionalFormatting>
  <conditionalFormatting sqref="C19:M19">
    <cfRule type="cellIs" dxfId="6" priority="10" operator="greaterThan">
      <formula>100</formula>
    </cfRule>
  </conditionalFormatting>
  <conditionalFormatting sqref="C20:M20">
    <cfRule type="cellIs" dxfId="5" priority="11" operator="greaterThan">
      <formula>30</formula>
    </cfRule>
  </conditionalFormatting>
  <conditionalFormatting sqref="C21:M21">
    <cfRule type="cellIs" dxfId="4" priority="12" operator="greaterThan">
      <formula>50</formula>
    </cfRule>
  </conditionalFormatting>
  <conditionalFormatting sqref="B23:M23">
    <cfRule type="cellIs" dxfId="3" priority="13" operator="greaterThan">
      <formula>250</formula>
    </cfRule>
  </conditionalFormatting>
  <conditionalFormatting sqref="B29:M29">
    <cfRule type="cellIs" dxfId="2" priority="14" operator="greaterThan">
      <formula>1200</formula>
    </cfRule>
    <cfRule type="cellIs" dxfId="1" priority="15" operator="greaterThan">
      <formula>1200</formula>
    </cfRule>
    <cfRule type="cellIs" dxfId="0" priority="16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"/>
  <sheetViews>
    <sheetView workbookViewId="0">
      <selection activeCell="L30" sqref="L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 Screen</vt:lpstr>
      <vt:lpstr>2019 Budget</vt:lpstr>
      <vt:lpstr>GoalBudget</vt:lpstr>
      <vt:lpstr>Configuration Tab</vt:lpstr>
      <vt:lpstr>Users Manual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2019-04-10T23:04:55Z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